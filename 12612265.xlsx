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f1c2410335d82d/Documents/CAP776/"/>
    </mc:Choice>
  </mc:AlternateContent>
  <xr:revisionPtr revIDLastSave="59" documentId="8_{B77C434B-7271-4DC5-97B4-D8EF94629151}" xr6:coauthVersionLast="47" xr6:coauthVersionMax="47" xr10:uidLastSave="{33349982-9D8D-4EE9-A4AB-D5A46C1F2ABD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I10" i="2" s="1"/>
  <c r="J10" i="2" s="1"/>
  <c r="F11" i="2"/>
  <c r="I11" i="2" s="1"/>
  <c r="J11" i="2" s="1"/>
  <c r="F12" i="2"/>
  <c r="I12" i="2" s="1"/>
  <c r="J12" i="2" s="1"/>
  <c r="F13" i="2"/>
  <c r="I13" i="2" s="1"/>
  <c r="J13" i="2" s="1"/>
  <c r="F14" i="2"/>
  <c r="I14" i="2" s="1"/>
  <c r="J14" i="2" s="1"/>
  <c r="F15" i="2"/>
  <c r="I15" i="2" s="1"/>
  <c r="J15" i="2" s="1"/>
  <c r="F16" i="2"/>
  <c r="I16" i="2" s="1"/>
  <c r="J16" i="2" s="1"/>
  <c r="F17" i="2"/>
  <c r="I17" i="2" s="1"/>
  <c r="J17" i="2" s="1"/>
  <c r="F18" i="2"/>
  <c r="I18" i="2" s="1"/>
  <c r="J18" i="2" s="1"/>
  <c r="F19" i="2"/>
  <c r="F20" i="2"/>
  <c r="F21" i="2"/>
  <c r="F22" i="2"/>
  <c r="I22" i="2" s="1"/>
  <c r="J22" i="2" s="1"/>
  <c r="F23" i="2"/>
  <c r="I23" i="2" s="1"/>
  <c r="J23" i="2" s="1"/>
  <c r="F24" i="2"/>
  <c r="I24" i="2" s="1"/>
  <c r="J24" i="2" s="1"/>
  <c r="F25" i="2"/>
  <c r="I25" i="2" s="1"/>
  <c r="J25" i="2" s="1"/>
  <c r="F26" i="2"/>
  <c r="I26" i="2" s="1"/>
  <c r="J26" i="2" s="1"/>
  <c r="F27" i="2"/>
  <c r="I27" i="2" s="1"/>
  <c r="J27" i="2" s="1"/>
  <c r="F28" i="2"/>
  <c r="I28" i="2" s="1"/>
  <c r="J28" i="2" s="1"/>
  <c r="F29" i="2"/>
  <c r="I29" i="2" s="1"/>
  <c r="J29" i="2" s="1"/>
  <c r="F30" i="2"/>
  <c r="I30" i="2" s="1"/>
  <c r="J30" i="2" s="1"/>
  <c r="F31" i="2"/>
  <c r="F32" i="2"/>
  <c r="F33" i="2"/>
  <c r="F34" i="2"/>
  <c r="I34" i="2" s="1"/>
  <c r="J34" i="2" s="1"/>
  <c r="F35" i="2"/>
  <c r="I35" i="2" s="1"/>
  <c r="J35" i="2" s="1"/>
  <c r="F36" i="2"/>
  <c r="I36" i="2" s="1"/>
  <c r="J36" i="2" s="1"/>
  <c r="F37" i="2"/>
  <c r="I37" i="2" s="1"/>
  <c r="J37" i="2" s="1"/>
  <c r="F38" i="2"/>
  <c r="I38" i="2" s="1"/>
  <c r="J38" i="2" s="1"/>
  <c r="F39" i="2"/>
  <c r="I39" i="2" s="1"/>
  <c r="J39" i="2" s="1"/>
  <c r="F40" i="2"/>
  <c r="I40" i="2" s="1"/>
  <c r="J40" i="2" s="1"/>
  <c r="F41" i="2"/>
  <c r="I41" i="2" s="1"/>
  <c r="J41" i="2" s="1"/>
  <c r="F42" i="2"/>
  <c r="I42" i="2" s="1"/>
  <c r="J42" i="2" s="1"/>
  <c r="F43" i="2"/>
  <c r="F44" i="2"/>
  <c r="F45" i="2"/>
  <c r="F46" i="2"/>
  <c r="I46" i="2" s="1"/>
  <c r="J46" i="2" s="1"/>
  <c r="F47" i="2"/>
  <c r="I47" i="2" s="1"/>
  <c r="J47" i="2" s="1"/>
  <c r="F48" i="2"/>
  <c r="I48" i="2" s="1"/>
  <c r="J48" i="2" s="1"/>
  <c r="F49" i="2"/>
  <c r="I49" i="2" s="1"/>
  <c r="J49" i="2" s="1"/>
  <c r="F50" i="2"/>
  <c r="I50" i="2" s="1"/>
  <c r="J50" i="2" s="1"/>
  <c r="F51" i="2"/>
  <c r="I51" i="2" s="1"/>
  <c r="J51" i="2" s="1"/>
  <c r="F52" i="2"/>
  <c r="I52" i="2" s="1"/>
  <c r="J52" i="2" s="1"/>
  <c r="F53" i="2"/>
  <c r="I53" i="2" s="1"/>
  <c r="J53" i="2" s="1"/>
  <c r="F54" i="2"/>
  <c r="I54" i="2" s="1"/>
  <c r="J54" i="2" s="1"/>
  <c r="F55" i="2"/>
  <c r="F56" i="2"/>
  <c r="F57" i="2"/>
  <c r="F6" i="2"/>
  <c r="I7" i="2"/>
  <c r="J7" i="2" s="1"/>
  <c r="I6" i="2"/>
  <c r="J6" i="2" s="1"/>
  <c r="I8" i="2"/>
  <c r="J8" i="2" s="1"/>
  <c r="I9" i="2"/>
  <c r="J9" i="2" s="1"/>
  <c r="I19" i="2"/>
  <c r="J19" i="2" s="1"/>
  <c r="I20" i="2"/>
  <c r="J20" i="2" s="1"/>
  <c r="I21" i="2"/>
  <c r="J21" i="2" s="1"/>
  <c r="I31" i="2"/>
  <c r="J31" i="2" s="1"/>
  <c r="I32" i="2"/>
  <c r="J32" i="2" s="1"/>
  <c r="I33" i="2"/>
  <c r="J33" i="2" s="1"/>
  <c r="I43" i="2"/>
  <c r="J43" i="2" s="1"/>
  <c r="I44" i="2"/>
  <c r="J44" i="2" s="1"/>
  <c r="I45" i="2"/>
  <c r="J45" i="2" s="1"/>
  <c r="I55" i="2"/>
  <c r="J55" i="2" s="1"/>
  <c r="I56" i="2"/>
  <c r="J56" i="2" s="1"/>
  <c r="I57" i="2"/>
  <c r="J5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</calcChain>
</file>

<file path=xl/sharedStrings.xml><?xml version="1.0" encoding="utf-8"?>
<sst xmlns="http://schemas.openxmlformats.org/spreadsheetml/2006/main" count="261" uniqueCount="78">
  <si>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</si>
  <si>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</si>
  <si>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</si>
  <si>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</si>
  <si>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</si>
  <si>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</si>
  <si>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</si>
  <si>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</si>
  <si>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</si>
  <si>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</si>
  <si>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</si>
  <si>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</si>
  <si>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</si>
  <si>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</si>
  <si>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</si>
  <si>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</si>
  <si>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</si>
  <si>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</si>
  <si>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</si>
  <si>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</si>
  <si>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</si>
  <si>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</si>
  <si>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</si>
  <si>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</si>
  <si>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</si>
  <si>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</si>
  <si>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</si>
  <si>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</si>
  <si>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</si>
  <si>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</si>
  <si>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</si>
  <si>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</si>
  <si>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</si>
  <si>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</si>
  <si>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</si>
  <si>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</si>
  <si>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</si>
  <si>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</si>
  <si>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</si>
  <si>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</si>
  <si>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</si>
  <si>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</si>
  <si>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</si>
  <si>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</si>
  <si>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</si>
  <si>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</si>
  <si>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</si>
  <si>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</si>
  <si>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</si>
  <si>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</si>
  <si>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</si>
  <si>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</si>
  <si>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</si>
  <si>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High</t>
  </si>
  <si>
    <t>Neutral</t>
  </si>
  <si>
    <t>Excellent</t>
  </si>
  <si>
    <t>Very Satisfied</t>
  </si>
  <si>
    <t>Low</t>
  </si>
  <si>
    <t>Unsatisfied</t>
  </si>
  <si>
    <t>Stressed</t>
  </si>
  <si>
    <t>Very Unsatisfied</t>
  </si>
  <si>
    <t>I balanced study, coding, movement, and rest throughout my day.</t>
  </si>
  <si>
    <t>Focused on steady progress while keeping a healthy daily routine.</t>
  </si>
  <si>
    <t>Made time for learning, exercise, meals, and a relaxing evening.</t>
  </si>
  <si>
    <t>Worked through priorities and left room for breaks and reflection.</t>
  </si>
  <si>
    <t>Kept a balanced pace and completed several useful tasks today.</t>
  </si>
  <si>
    <t>Spent time learning new concepts and practicing practical skills today.</t>
  </si>
  <si>
    <t>Prioritized well-being, focused work, and meaningful progress across the day.</t>
  </si>
  <si>
    <t>Enjoyed a productive day with movement, learning, and time outdoors.</t>
  </si>
  <si>
    <t>Balanced focused tasks with breaks to maintain energy and motivation.</t>
  </si>
  <si>
    <t>Made consistent progress and stayed flexible when plans changed unexpectedly.</t>
  </si>
  <si>
    <t>Used my time thoughtfully across projects, study, and personal care.</t>
  </si>
  <si>
    <t>Reflected on accomplishments and identified priorities for the coming day.</t>
  </si>
  <si>
    <t>Kept routines simple, made progress, and ended the day calmly.</t>
  </si>
  <si>
    <t>Today included focused learning, practical work, healthy movement, and downtime.</t>
  </si>
  <si>
    <t>JAY GAJJAR</t>
  </si>
  <si>
    <t>D1P2634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</si>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</sst>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3C1E4A-58DD-45C7-998A-8B28CDEAA09C}">
  <we:reference id="wa200010215" version="2.0.0.1" store="en-US" storeType="OMEX"/>
  <we:alternateReferences>
    <we:reference id="wa200010215" version="2.0.0.1" store="wa200010215" storeType="OMEX"/>
  </we:alternateReferences>
  <we:properties>
    <we:property name="bps.codex_control.document_id" value="&quot;6b1ef817-8fed-41fe-9bb7-889920f9eb4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2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N1"/>
    </sheetView>
  </sheetViews>
  <sheetFormatPr defaultColWidth="8.6640625" defaultRowHeight="14.4" x14ac:dyDescent="0.3"/>
  <cols>
    <col min="1" max="1" width="18" bestFit="1" customWidth="1"/>
    <col min="2" max="4" width="11" customWidth="1"/>
    <col min="5" max="5" width="17.554687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75</v>
      </c>
      <c r="C2" s="20"/>
      <c r="D2" s="20"/>
      <c r="E2" s="6" t="s">
        <v>31</v>
      </c>
      <c r="F2" s="20">
        <v>12612265</v>
      </c>
      <c r="G2" s="20"/>
    </row>
    <row r="3" spans="1:14" ht="19.5" customHeight="1" x14ac:dyDescent="0.3">
      <c r="A3" s="6" t="s">
        <v>32</v>
      </c>
      <c r="B3" s="20" t="s">
        <v>76</v>
      </c>
      <c r="C3" s="20"/>
      <c r="D3" s="20"/>
      <c r="E3" s="6" t="s">
        <v>33</v>
      </c>
      <c r="F3" s="20" t="s">
        <v>77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46240</v>
      </c>
      <c r="B6" s="9">
        <v>435</v>
      </c>
      <c r="C6" s="9">
        <v>0</v>
      </c>
      <c r="D6" s="9">
        <v>90</v>
      </c>
      <c r="E6" s="9">
        <v>60</v>
      </c>
      <c r="F6" s="9">
        <f>G6*50</f>
        <v>300</v>
      </c>
      <c r="G6" s="9">
        <v>6</v>
      </c>
      <c r="H6" s="9">
        <v>360</v>
      </c>
      <c r="I6" s="10">
        <f>IF(SUM(B6:F6,H6)=0,"",SUM(B6:F6,H6))</f>
        <v>1245</v>
      </c>
      <c r="J6" s="10">
        <f>IF(I6="","",1440-I6)</f>
        <v>195</v>
      </c>
      <c r="K6" s="11" t="s">
        <v>59</v>
      </c>
      <c r="L6" s="11" t="s">
        <v>60</v>
      </c>
      <c r="M6" s="11" t="s">
        <v>53</v>
      </c>
      <c r="N6" s="12" t="s">
        <v>61</v>
      </c>
    </row>
    <row r="7" spans="1:14" ht="43.2" x14ac:dyDescent="0.3">
      <c r="A7" s="13">
        <v>46241</v>
      </c>
      <c r="B7" s="14">
        <v>450</v>
      </c>
      <c r="C7" s="14">
        <v>50</v>
      </c>
      <c r="D7" s="14">
        <v>105</v>
      </c>
      <c r="E7" s="14">
        <v>45</v>
      </c>
      <c r="F7" s="9">
        <f t="shared" ref="F7:F57" si="0">G7*50</f>
        <v>350</v>
      </c>
      <c r="G7" s="14">
        <v>7</v>
      </c>
      <c r="H7" s="14">
        <v>150</v>
      </c>
      <c r="I7" s="15">
        <f>IF(SUM(B7:F7,H7)=0,"",SUM(B7:F7,H7))</f>
        <v>1150</v>
      </c>
      <c r="J7" s="15">
        <f>IF(I7="","",1440-I7)</f>
        <v>290</v>
      </c>
      <c r="K7" s="16" t="s">
        <v>54</v>
      </c>
      <c r="L7" s="16" t="s">
        <v>50</v>
      </c>
      <c r="M7" s="16" t="s">
        <v>57</v>
      </c>
      <c r="N7" s="17" t="s">
        <v>62</v>
      </c>
    </row>
    <row r="8" spans="1:14" ht="28.8" x14ac:dyDescent="0.3">
      <c r="A8" s="13">
        <v>46242</v>
      </c>
      <c r="B8" s="14">
        <v>465</v>
      </c>
      <c r="C8" s="14">
        <v>95</v>
      </c>
      <c r="D8" s="14">
        <v>120</v>
      </c>
      <c r="E8" s="14">
        <v>30</v>
      </c>
      <c r="F8" s="9">
        <f t="shared" si="0"/>
        <v>0</v>
      </c>
      <c r="G8" s="14">
        <v>0</v>
      </c>
      <c r="H8" s="14">
        <v>210</v>
      </c>
      <c r="I8" s="15">
        <f>IF(SUM(B8:F8,H8)=0,"",SUM(B8:F8,H8))</f>
        <v>920</v>
      </c>
      <c r="J8" s="15">
        <f>IF(I8="","",1440-I8)</f>
        <v>520</v>
      </c>
      <c r="K8" s="16" t="s">
        <v>55</v>
      </c>
      <c r="L8" s="16" t="s">
        <v>58</v>
      </c>
      <c r="M8" s="16" t="s">
        <v>51</v>
      </c>
      <c r="N8" s="17" t="s">
        <v>63</v>
      </c>
    </row>
    <row r="9" spans="1:14" ht="43.2" x14ac:dyDescent="0.3">
      <c r="A9" s="13">
        <v>46243</v>
      </c>
      <c r="B9" s="14">
        <v>480</v>
      </c>
      <c r="C9" s="14">
        <v>0</v>
      </c>
      <c r="D9" s="14">
        <v>135</v>
      </c>
      <c r="E9" s="14">
        <v>30</v>
      </c>
      <c r="F9" s="9">
        <f t="shared" si="0"/>
        <v>0</v>
      </c>
      <c r="G9" s="14">
        <v>0</v>
      </c>
      <c r="H9" s="14">
        <v>270</v>
      </c>
      <c r="I9" s="15">
        <f>IF(SUM(B9:F9,H9)=0,"",SUM(B9:F9,H9))</f>
        <v>915</v>
      </c>
      <c r="J9" s="15">
        <f>IF(I9="","",1440-I9)</f>
        <v>525</v>
      </c>
      <c r="K9" s="16" t="s">
        <v>57</v>
      </c>
      <c r="L9" s="16" t="s">
        <v>56</v>
      </c>
      <c r="M9" s="16" t="s">
        <v>53</v>
      </c>
      <c r="N9" s="17" t="s">
        <v>64</v>
      </c>
    </row>
    <row r="10" spans="1:14" ht="43.2" x14ac:dyDescent="0.3">
      <c r="A10" s="13">
        <v>46244</v>
      </c>
      <c r="B10" s="14">
        <v>495</v>
      </c>
      <c r="C10" s="14">
        <v>95</v>
      </c>
      <c r="D10" s="14">
        <v>150</v>
      </c>
      <c r="E10" s="14">
        <v>135</v>
      </c>
      <c r="F10" s="9">
        <f t="shared" si="0"/>
        <v>250</v>
      </c>
      <c r="G10" s="14">
        <v>5</v>
      </c>
      <c r="H10" s="14">
        <v>290</v>
      </c>
      <c r="I10" s="15">
        <f>IF(SUM(B10:F10,H10)=0,"",SUM(B10:F10,H10))</f>
        <v>1415</v>
      </c>
      <c r="J10" s="15">
        <f>IF(I10="","",1440-I10)</f>
        <v>25</v>
      </c>
      <c r="K10" s="16" t="s">
        <v>49</v>
      </c>
      <c r="L10" s="16" t="s">
        <v>54</v>
      </c>
      <c r="M10" s="16" t="s">
        <v>57</v>
      </c>
      <c r="N10" s="17" t="s">
        <v>65</v>
      </c>
    </row>
    <row r="11" spans="1:14" ht="43.2" x14ac:dyDescent="0.3">
      <c r="A11" s="13">
        <v>46245</v>
      </c>
      <c r="B11" s="14">
        <v>510</v>
      </c>
      <c r="C11" s="14">
        <v>45</v>
      </c>
      <c r="D11" s="14">
        <v>165</v>
      </c>
      <c r="E11" s="14">
        <v>120</v>
      </c>
      <c r="F11" s="9">
        <f t="shared" si="0"/>
        <v>250</v>
      </c>
      <c r="G11" s="14">
        <v>5</v>
      </c>
      <c r="H11" s="14">
        <v>120</v>
      </c>
      <c r="I11" s="15">
        <f>IF(SUM(B11:F11,H11)=0,"",SUM(B11:F11,H11))</f>
        <v>1210</v>
      </c>
      <c r="J11" s="15">
        <f>IF(I11="","",1440-I11)</f>
        <v>230</v>
      </c>
      <c r="K11" s="16" t="s">
        <v>59</v>
      </c>
      <c r="L11" s="16" t="s">
        <v>60</v>
      </c>
      <c r="M11" s="16" t="s">
        <v>51</v>
      </c>
      <c r="N11" s="17" t="s">
        <v>66</v>
      </c>
    </row>
    <row r="12" spans="1:14" ht="43.2" x14ac:dyDescent="0.3">
      <c r="A12" s="13">
        <v>46246</v>
      </c>
      <c r="B12" s="14">
        <v>390</v>
      </c>
      <c r="C12" s="14">
        <v>15</v>
      </c>
      <c r="D12" s="14">
        <v>180</v>
      </c>
      <c r="E12" s="14">
        <v>105</v>
      </c>
      <c r="F12" s="9">
        <f t="shared" si="0"/>
        <v>200</v>
      </c>
      <c r="G12" s="14">
        <v>4</v>
      </c>
      <c r="H12" s="14">
        <v>180</v>
      </c>
      <c r="I12" s="15">
        <f>IF(SUM(B12:F12,H12)=0,"",SUM(B12:F12,H12))</f>
        <v>1070</v>
      </c>
      <c r="J12" s="15">
        <f>IF(I12="","",1440-I12)</f>
        <v>370</v>
      </c>
      <c r="K12" s="16" t="s">
        <v>54</v>
      </c>
      <c r="L12" s="16" t="s">
        <v>50</v>
      </c>
      <c r="M12" s="16" t="s">
        <v>53</v>
      </c>
      <c r="N12" s="17" t="s">
        <v>67</v>
      </c>
    </row>
    <row r="13" spans="1:14" ht="43.2" x14ac:dyDescent="0.3">
      <c r="A13" s="13">
        <v>46247</v>
      </c>
      <c r="B13" s="14">
        <v>405</v>
      </c>
      <c r="C13" s="14">
        <v>25</v>
      </c>
      <c r="D13" s="14">
        <v>45</v>
      </c>
      <c r="E13" s="14">
        <v>90</v>
      </c>
      <c r="F13" s="9">
        <f t="shared" si="0"/>
        <v>300</v>
      </c>
      <c r="G13" s="9">
        <v>6</v>
      </c>
      <c r="H13" s="14">
        <v>240</v>
      </c>
      <c r="I13" s="15">
        <f>IF(SUM(B13:F13,H13)=0,"",SUM(B13:F13,H13))</f>
        <v>1105</v>
      </c>
      <c r="J13" s="15">
        <f>IF(I13="","",1440-I13)</f>
        <v>335</v>
      </c>
      <c r="K13" s="16" t="s">
        <v>55</v>
      </c>
      <c r="L13" s="16" t="s">
        <v>58</v>
      </c>
      <c r="M13" s="16" t="s">
        <v>57</v>
      </c>
      <c r="N13" s="17" t="s">
        <v>68</v>
      </c>
    </row>
    <row r="14" spans="1:14" ht="43.2" x14ac:dyDescent="0.3">
      <c r="A14" s="13">
        <v>46248</v>
      </c>
      <c r="B14" s="14">
        <v>420</v>
      </c>
      <c r="C14" s="14">
        <v>20</v>
      </c>
      <c r="D14" s="14">
        <v>60</v>
      </c>
      <c r="E14" s="14">
        <v>75</v>
      </c>
      <c r="F14" s="9">
        <f t="shared" si="0"/>
        <v>350</v>
      </c>
      <c r="G14" s="14">
        <v>7</v>
      </c>
      <c r="H14" s="14">
        <v>300</v>
      </c>
      <c r="I14" s="15">
        <f>IF(SUM(B14:F14,H14)=0,"",SUM(B14:F14,H14))</f>
        <v>1225</v>
      </c>
      <c r="J14" s="15">
        <f>IF(I14="","",1440-I14)</f>
        <v>215</v>
      </c>
      <c r="K14" s="16" t="s">
        <v>57</v>
      </c>
      <c r="L14" s="16" t="s">
        <v>56</v>
      </c>
      <c r="M14" s="16" t="s">
        <v>51</v>
      </c>
      <c r="N14" s="17" t="s">
        <v>69</v>
      </c>
    </row>
    <row r="15" spans="1:14" ht="43.2" x14ac:dyDescent="0.3">
      <c r="A15" s="13">
        <v>46249</v>
      </c>
      <c r="B15" s="14">
        <v>435</v>
      </c>
      <c r="C15" s="14">
        <v>0</v>
      </c>
      <c r="D15" s="14">
        <v>75</v>
      </c>
      <c r="E15" s="14">
        <v>60</v>
      </c>
      <c r="F15" s="9">
        <f t="shared" si="0"/>
        <v>0</v>
      </c>
      <c r="G15" s="14">
        <v>0</v>
      </c>
      <c r="H15" s="14">
        <v>360</v>
      </c>
      <c r="I15" s="15">
        <f>IF(SUM(B15:F15,H15)=0,"",SUM(B15:F15,H15))</f>
        <v>930</v>
      </c>
      <c r="J15" s="15">
        <f>IF(I15="","",1440-I15)</f>
        <v>510</v>
      </c>
      <c r="K15" s="16" t="s">
        <v>49</v>
      </c>
      <c r="L15" s="16" t="s">
        <v>54</v>
      </c>
      <c r="M15" s="16" t="s">
        <v>53</v>
      </c>
      <c r="N15" s="17" t="s">
        <v>70</v>
      </c>
    </row>
    <row r="16" spans="1:14" ht="43.2" x14ac:dyDescent="0.3">
      <c r="A16" s="13">
        <v>46250</v>
      </c>
      <c r="B16" s="14">
        <v>450</v>
      </c>
      <c r="C16" s="14">
        <v>20</v>
      </c>
      <c r="D16" s="14">
        <v>90</v>
      </c>
      <c r="E16" s="14">
        <v>45</v>
      </c>
      <c r="F16" s="9">
        <f t="shared" si="0"/>
        <v>0</v>
      </c>
      <c r="G16" s="14">
        <v>0</v>
      </c>
      <c r="H16" s="14">
        <v>150</v>
      </c>
      <c r="I16" s="15">
        <f>IF(SUM(B16:F16,H16)=0,"",SUM(B16:F16,H16))</f>
        <v>755</v>
      </c>
      <c r="J16" s="15">
        <f>IF(I16="","",1440-I16)</f>
        <v>685</v>
      </c>
      <c r="K16" s="16" t="s">
        <v>59</v>
      </c>
      <c r="L16" s="16" t="s">
        <v>60</v>
      </c>
      <c r="M16" s="16" t="s">
        <v>57</v>
      </c>
      <c r="N16" s="17" t="s">
        <v>71</v>
      </c>
    </row>
    <row r="17" spans="1:14" ht="43.2" x14ac:dyDescent="0.3">
      <c r="A17" s="13">
        <v>46251</v>
      </c>
      <c r="B17" s="14">
        <v>465</v>
      </c>
      <c r="C17" s="14">
        <v>50</v>
      </c>
      <c r="D17" s="14">
        <v>105</v>
      </c>
      <c r="E17" s="14">
        <v>30</v>
      </c>
      <c r="F17" s="9">
        <f t="shared" si="0"/>
        <v>250</v>
      </c>
      <c r="G17" s="14">
        <v>5</v>
      </c>
      <c r="H17" s="14">
        <v>210</v>
      </c>
      <c r="I17" s="15">
        <f>IF(SUM(B17:F17,H17)=0,"",SUM(B17:F17,H17))</f>
        <v>1110</v>
      </c>
      <c r="J17" s="15">
        <f>IF(I17="","",1440-I17)</f>
        <v>330</v>
      </c>
      <c r="K17" s="16" t="s">
        <v>54</v>
      </c>
      <c r="L17" s="16" t="s">
        <v>50</v>
      </c>
      <c r="M17" s="16" t="s">
        <v>51</v>
      </c>
      <c r="N17" s="17" t="s">
        <v>72</v>
      </c>
    </row>
    <row r="18" spans="1:14" ht="43.2" x14ac:dyDescent="0.3">
      <c r="A18" s="13">
        <v>46252</v>
      </c>
      <c r="B18" s="14">
        <v>480</v>
      </c>
      <c r="C18" s="14">
        <v>0</v>
      </c>
      <c r="D18" s="14">
        <v>120</v>
      </c>
      <c r="E18" s="14">
        <v>150</v>
      </c>
      <c r="F18" s="9">
        <f t="shared" si="0"/>
        <v>250</v>
      </c>
      <c r="G18" s="14">
        <v>5</v>
      </c>
      <c r="H18" s="14">
        <v>270</v>
      </c>
      <c r="I18" s="15">
        <f>IF(SUM(B18:F18,H18)=0,"",SUM(B18:F18,H18))</f>
        <v>1270</v>
      </c>
      <c r="J18" s="15">
        <f>IF(I18="","",1440-I18)</f>
        <v>170</v>
      </c>
      <c r="K18" s="16" t="s">
        <v>55</v>
      </c>
      <c r="L18" s="16" t="s">
        <v>58</v>
      </c>
      <c r="M18" s="16" t="s">
        <v>53</v>
      </c>
      <c r="N18" s="17" t="s">
        <v>73</v>
      </c>
    </row>
    <row r="19" spans="1:14" ht="43.2" x14ac:dyDescent="0.3">
      <c r="A19" s="13">
        <v>46253</v>
      </c>
      <c r="B19" s="14">
        <v>495</v>
      </c>
      <c r="C19" s="14">
        <v>40</v>
      </c>
      <c r="D19" s="14">
        <v>135</v>
      </c>
      <c r="E19" s="14">
        <v>135</v>
      </c>
      <c r="F19" s="9">
        <f t="shared" si="0"/>
        <v>200</v>
      </c>
      <c r="G19" s="14">
        <v>4</v>
      </c>
      <c r="H19" s="14">
        <v>330</v>
      </c>
      <c r="I19" s="15">
        <f>IF(SUM(B19:F19,H19)=0,"",SUM(B19:F19,H19))</f>
        <v>1335</v>
      </c>
      <c r="J19" s="15">
        <f>IF(I19="","",1440-I19)</f>
        <v>105</v>
      </c>
      <c r="K19" s="16" t="s">
        <v>57</v>
      </c>
      <c r="L19" s="16" t="s">
        <v>56</v>
      </c>
      <c r="M19" s="16" t="s">
        <v>57</v>
      </c>
      <c r="N19" s="17" t="s">
        <v>74</v>
      </c>
    </row>
    <row r="20" spans="1:14" ht="43.2" x14ac:dyDescent="0.3">
      <c r="A20" s="13">
        <v>46254</v>
      </c>
      <c r="B20" s="14">
        <v>510</v>
      </c>
      <c r="C20" s="14">
        <v>90</v>
      </c>
      <c r="D20" s="14">
        <v>150</v>
      </c>
      <c r="E20" s="14">
        <v>120</v>
      </c>
      <c r="F20" s="9">
        <f t="shared" si="0"/>
        <v>300</v>
      </c>
      <c r="G20" s="9">
        <v>6</v>
      </c>
      <c r="H20" s="14">
        <v>120</v>
      </c>
      <c r="I20" s="15">
        <f>IF(SUM(B20:F20,H20)=0,"",SUM(B20:F20,H20))</f>
        <v>1290</v>
      </c>
      <c r="J20" s="15">
        <f>IF(I20="","",1440-I20)</f>
        <v>150</v>
      </c>
      <c r="K20" s="16" t="s">
        <v>49</v>
      </c>
      <c r="L20" s="16" t="s">
        <v>54</v>
      </c>
      <c r="M20" s="16" t="s">
        <v>51</v>
      </c>
      <c r="N20" s="17" t="s">
        <v>61</v>
      </c>
    </row>
    <row r="21" spans="1:14" ht="43.2" x14ac:dyDescent="0.3">
      <c r="A21" s="13">
        <v>46255</v>
      </c>
      <c r="B21" s="14">
        <v>390</v>
      </c>
      <c r="C21" s="14">
        <v>80</v>
      </c>
      <c r="D21" s="14">
        <v>165</v>
      </c>
      <c r="E21" s="14">
        <v>105</v>
      </c>
      <c r="F21" s="9">
        <f t="shared" si="0"/>
        <v>350</v>
      </c>
      <c r="G21" s="14">
        <v>7</v>
      </c>
      <c r="H21" s="14">
        <v>180</v>
      </c>
      <c r="I21" s="15">
        <f>IF(SUM(B21:F21,H21)=0,"",SUM(B21:F21,H21))</f>
        <v>1270</v>
      </c>
      <c r="J21" s="15">
        <f>IF(I21="","",1440-I21)</f>
        <v>170</v>
      </c>
      <c r="K21" s="16" t="s">
        <v>59</v>
      </c>
      <c r="L21" s="16" t="s">
        <v>60</v>
      </c>
      <c r="M21" s="16" t="s">
        <v>53</v>
      </c>
      <c r="N21" s="17" t="s">
        <v>62</v>
      </c>
    </row>
    <row r="22" spans="1:14" ht="28.8" x14ac:dyDescent="0.3">
      <c r="A22" s="13">
        <v>46256</v>
      </c>
      <c r="B22" s="14">
        <v>405</v>
      </c>
      <c r="C22" s="14">
        <v>40</v>
      </c>
      <c r="D22" s="14">
        <v>60</v>
      </c>
      <c r="E22" s="14">
        <v>90</v>
      </c>
      <c r="F22" s="9">
        <f t="shared" si="0"/>
        <v>0</v>
      </c>
      <c r="G22" s="14">
        <v>0</v>
      </c>
      <c r="H22" s="14">
        <v>240</v>
      </c>
      <c r="I22" s="15">
        <f>IF(SUM(B22:F22,H22)=0,"",SUM(B22:F22,H22))</f>
        <v>835</v>
      </c>
      <c r="J22" s="15">
        <f>IF(I22="","",1440-I22)</f>
        <v>605</v>
      </c>
      <c r="K22" s="16" t="s">
        <v>54</v>
      </c>
      <c r="L22" s="16" t="s">
        <v>50</v>
      </c>
      <c r="M22" s="16" t="s">
        <v>57</v>
      </c>
      <c r="N22" s="17" t="s">
        <v>63</v>
      </c>
    </row>
    <row r="23" spans="1:14" ht="43.2" x14ac:dyDescent="0.3">
      <c r="A23" s="13">
        <v>46257</v>
      </c>
      <c r="B23" s="14">
        <v>420</v>
      </c>
      <c r="C23" s="14">
        <v>55</v>
      </c>
      <c r="D23" s="14">
        <v>45</v>
      </c>
      <c r="E23" s="14">
        <v>75</v>
      </c>
      <c r="F23" s="9">
        <f t="shared" si="0"/>
        <v>0</v>
      </c>
      <c r="G23" s="14">
        <v>0</v>
      </c>
      <c r="H23" s="14">
        <v>300</v>
      </c>
      <c r="I23" s="15">
        <f>IF(SUM(B23:F23,H23)=0,"",SUM(B23:F23,H23))</f>
        <v>895</v>
      </c>
      <c r="J23" s="15">
        <f>IF(I23="","",1440-I23)</f>
        <v>545</v>
      </c>
      <c r="K23" s="16" t="s">
        <v>55</v>
      </c>
      <c r="L23" s="16" t="s">
        <v>58</v>
      </c>
      <c r="M23" s="16" t="s">
        <v>51</v>
      </c>
      <c r="N23" s="17" t="s">
        <v>64</v>
      </c>
    </row>
    <row r="24" spans="1:14" ht="43.2" x14ac:dyDescent="0.3">
      <c r="A24" s="13">
        <v>46258</v>
      </c>
      <c r="B24" s="14">
        <v>435</v>
      </c>
      <c r="C24" s="14">
        <v>0</v>
      </c>
      <c r="D24" s="14">
        <v>60</v>
      </c>
      <c r="E24" s="14">
        <v>60</v>
      </c>
      <c r="F24" s="9">
        <f t="shared" si="0"/>
        <v>250</v>
      </c>
      <c r="G24" s="14">
        <v>5</v>
      </c>
      <c r="H24" s="14">
        <v>360</v>
      </c>
      <c r="I24" s="15">
        <f>IF(SUM(B24:F24,H24)=0,"",SUM(B24:F24,H24))</f>
        <v>1165</v>
      </c>
      <c r="J24" s="15">
        <f>IF(I24="","",1440-I24)</f>
        <v>275</v>
      </c>
      <c r="K24" s="16" t="s">
        <v>57</v>
      </c>
      <c r="L24" s="16" t="s">
        <v>56</v>
      </c>
      <c r="M24" s="16" t="s">
        <v>53</v>
      </c>
      <c r="N24" s="17" t="s">
        <v>65</v>
      </c>
    </row>
    <row r="25" spans="1:14" ht="43.2" x14ac:dyDescent="0.3">
      <c r="A25" s="13">
        <v>46259</v>
      </c>
      <c r="B25" s="14">
        <v>450</v>
      </c>
      <c r="C25" s="14">
        <v>30</v>
      </c>
      <c r="D25" s="14">
        <v>75</v>
      </c>
      <c r="E25" s="14">
        <v>45</v>
      </c>
      <c r="F25" s="9">
        <f t="shared" si="0"/>
        <v>250</v>
      </c>
      <c r="G25" s="14">
        <v>5</v>
      </c>
      <c r="H25" s="14">
        <v>150</v>
      </c>
      <c r="I25" s="15">
        <f>IF(SUM(B25:F25,H25)=0,"",SUM(B25:F25,H25))</f>
        <v>1000</v>
      </c>
      <c r="J25" s="15">
        <f>IF(I25="","",1440-I25)</f>
        <v>440</v>
      </c>
      <c r="K25" s="16" t="s">
        <v>49</v>
      </c>
      <c r="L25" s="16" t="s">
        <v>54</v>
      </c>
      <c r="M25" s="16" t="s">
        <v>57</v>
      </c>
      <c r="N25" s="17" t="s">
        <v>66</v>
      </c>
    </row>
    <row r="26" spans="1:14" ht="43.2" x14ac:dyDescent="0.3">
      <c r="A26" s="13">
        <v>46260</v>
      </c>
      <c r="B26" s="14">
        <v>465</v>
      </c>
      <c r="C26" s="14">
        <v>75</v>
      </c>
      <c r="D26" s="14">
        <v>90</v>
      </c>
      <c r="E26" s="14">
        <v>30</v>
      </c>
      <c r="F26" s="9">
        <f t="shared" si="0"/>
        <v>200</v>
      </c>
      <c r="G26" s="14">
        <v>4</v>
      </c>
      <c r="H26" s="14">
        <v>210</v>
      </c>
      <c r="I26" s="15">
        <f>IF(SUM(B26:F26,H26)=0,"",SUM(B26:F26,H26))</f>
        <v>1070</v>
      </c>
      <c r="J26" s="15">
        <f>IF(I26="","",1440-I26)</f>
        <v>370</v>
      </c>
      <c r="K26" s="16" t="s">
        <v>59</v>
      </c>
      <c r="L26" s="16" t="s">
        <v>60</v>
      </c>
      <c r="M26" s="16" t="s">
        <v>51</v>
      </c>
      <c r="N26" s="17" t="s">
        <v>67</v>
      </c>
    </row>
    <row r="27" spans="1:14" ht="43.2" x14ac:dyDescent="0.3">
      <c r="A27" s="13">
        <v>46261</v>
      </c>
      <c r="B27" s="14">
        <v>480</v>
      </c>
      <c r="C27" s="14">
        <v>45</v>
      </c>
      <c r="D27" s="14">
        <v>105</v>
      </c>
      <c r="E27" s="14">
        <v>150</v>
      </c>
      <c r="F27" s="9">
        <f t="shared" si="0"/>
        <v>300</v>
      </c>
      <c r="G27" s="9">
        <v>6</v>
      </c>
      <c r="H27" s="14">
        <v>270</v>
      </c>
      <c r="I27" s="15">
        <f>IF(SUM(B27:F27,H27)=0,"",SUM(B27:F27,H27))</f>
        <v>1350</v>
      </c>
      <c r="J27" s="15">
        <f>IF(I27="","",1440-I27)</f>
        <v>90</v>
      </c>
      <c r="K27" s="16" t="s">
        <v>54</v>
      </c>
      <c r="L27" s="16" t="s">
        <v>50</v>
      </c>
      <c r="M27" s="16" t="s">
        <v>53</v>
      </c>
      <c r="N27" s="17" t="s">
        <v>68</v>
      </c>
    </row>
    <row r="28" spans="1:14" ht="43.2" x14ac:dyDescent="0.3">
      <c r="A28" s="13">
        <v>46262</v>
      </c>
      <c r="B28" s="14">
        <v>495</v>
      </c>
      <c r="C28" s="14">
        <v>45</v>
      </c>
      <c r="D28" s="14">
        <v>120</v>
      </c>
      <c r="E28" s="14">
        <v>135</v>
      </c>
      <c r="F28" s="9">
        <f t="shared" si="0"/>
        <v>350</v>
      </c>
      <c r="G28" s="14">
        <v>7</v>
      </c>
      <c r="H28" s="14">
        <v>230</v>
      </c>
      <c r="I28" s="15">
        <f>IF(SUM(B28:F28,H28)=0,"",SUM(B28:F28,H28))</f>
        <v>1375</v>
      </c>
      <c r="J28" s="15">
        <f>IF(I28="","",1440-I28)</f>
        <v>65</v>
      </c>
      <c r="K28" s="16" t="s">
        <v>55</v>
      </c>
      <c r="L28" s="16" t="s">
        <v>58</v>
      </c>
      <c r="M28" s="16" t="s">
        <v>57</v>
      </c>
      <c r="N28" s="17" t="s">
        <v>69</v>
      </c>
    </row>
    <row r="29" spans="1:14" ht="43.2" x14ac:dyDescent="0.3">
      <c r="A29" s="13">
        <v>46263</v>
      </c>
      <c r="B29" s="14">
        <v>510</v>
      </c>
      <c r="C29" s="14">
        <v>50</v>
      </c>
      <c r="D29" s="14">
        <v>135</v>
      </c>
      <c r="E29" s="14">
        <v>120</v>
      </c>
      <c r="F29" s="9">
        <f t="shared" si="0"/>
        <v>0</v>
      </c>
      <c r="G29" s="14">
        <v>0</v>
      </c>
      <c r="H29" s="14">
        <v>120</v>
      </c>
      <c r="I29" s="15">
        <f>IF(SUM(B29:F29,H29)=0,"",SUM(B29:F29,H29))</f>
        <v>935</v>
      </c>
      <c r="J29" s="15">
        <f>IF(I29="","",1440-I29)</f>
        <v>505</v>
      </c>
      <c r="K29" s="16" t="s">
        <v>57</v>
      </c>
      <c r="L29" s="16" t="s">
        <v>56</v>
      </c>
      <c r="M29" s="16" t="s">
        <v>51</v>
      </c>
      <c r="N29" s="17" t="s">
        <v>70</v>
      </c>
    </row>
    <row r="30" spans="1:14" ht="43.2" x14ac:dyDescent="0.3">
      <c r="A30" s="13">
        <v>46264</v>
      </c>
      <c r="B30" s="14">
        <v>390</v>
      </c>
      <c r="C30" s="14">
        <v>0</v>
      </c>
      <c r="D30" s="14">
        <v>150</v>
      </c>
      <c r="E30" s="14">
        <v>105</v>
      </c>
      <c r="F30" s="9">
        <f t="shared" si="0"/>
        <v>0</v>
      </c>
      <c r="G30" s="14">
        <v>0</v>
      </c>
      <c r="H30" s="14">
        <v>180</v>
      </c>
      <c r="I30" s="15">
        <f>IF(SUM(B30:F30,H30)=0,"",SUM(B30:F30,H30))</f>
        <v>825</v>
      </c>
      <c r="J30" s="15">
        <f>IF(I30="","",1440-I30)</f>
        <v>615</v>
      </c>
      <c r="K30" s="16" t="s">
        <v>49</v>
      </c>
      <c r="L30" s="16" t="s">
        <v>54</v>
      </c>
      <c r="M30" s="16" t="s">
        <v>53</v>
      </c>
      <c r="N30" s="17" t="s">
        <v>71</v>
      </c>
    </row>
    <row r="31" spans="1:14" ht="43.2" x14ac:dyDescent="0.3">
      <c r="A31" s="13">
        <v>46265</v>
      </c>
      <c r="B31" s="14">
        <v>405</v>
      </c>
      <c r="C31" s="14">
        <v>0</v>
      </c>
      <c r="D31" s="14">
        <v>165</v>
      </c>
      <c r="E31" s="14">
        <v>90</v>
      </c>
      <c r="F31" s="9">
        <f t="shared" si="0"/>
        <v>250</v>
      </c>
      <c r="G31" s="14">
        <v>5</v>
      </c>
      <c r="H31" s="14">
        <v>240</v>
      </c>
      <c r="I31" s="15">
        <f>IF(SUM(B31:F31,H31)=0,"",SUM(B31:F31,H31))</f>
        <v>1150</v>
      </c>
      <c r="J31" s="15">
        <f>IF(I31="","",1440-I31)</f>
        <v>290</v>
      </c>
      <c r="K31" s="16" t="s">
        <v>59</v>
      </c>
      <c r="L31" s="16" t="s">
        <v>60</v>
      </c>
      <c r="M31" s="16" t="s">
        <v>57</v>
      </c>
      <c r="N31" s="17" t="s">
        <v>72</v>
      </c>
    </row>
    <row r="32" spans="1:14" ht="43.2" x14ac:dyDescent="0.3">
      <c r="A32" s="13">
        <v>46266</v>
      </c>
      <c r="B32" s="14">
        <v>420</v>
      </c>
      <c r="C32" s="14">
        <v>60</v>
      </c>
      <c r="D32" s="14">
        <v>180</v>
      </c>
      <c r="E32" s="14">
        <v>75</v>
      </c>
      <c r="F32" s="9">
        <f t="shared" si="0"/>
        <v>250</v>
      </c>
      <c r="G32" s="14">
        <v>5</v>
      </c>
      <c r="H32" s="14">
        <v>300</v>
      </c>
      <c r="I32" s="15">
        <f>IF(SUM(B32:F32,H32)=0,"",SUM(B32:F32,H32))</f>
        <v>1285</v>
      </c>
      <c r="J32" s="15">
        <f>IF(I32="","",1440-I32)</f>
        <v>155</v>
      </c>
      <c r="K32" s="16" t="s">
        <v>54</v>
      </c>
      <c r="L32" s="16" t="s">
        <v>50</v>
      </c>
      <c r="M32" s="16" t="s">
        <v>51</v>
      </c>
      <c r="N32" s="17" t="s">
        <v>73</v>
      </c>
    </row>
    <row r="33" spans="1:14" ht="43.2" x14ac:dyDescent="0.3">
      <c r="A33" s="13">
        <v>46267</v>
      </c>
      <c r="B33" s="14">
        <v>435</v>
      </c>
      <c r="C33" s="14">
        <v>45</v>
      </c>
      <c r="D33" s="14">
        <v>45</v>
      </c>
      <c r="E33" s="14">
        <v>60</v>
      </c>
      <c r="F33" s="9">
        <f t="shared" si="0"/>
        <v>200</v>
      </c>
      <c r="G33" s="14">
        <v>4</v>
      </c>
      <c r="H33" s="14">
        <v>360</v>
      </c>
      <c r="I33" s="15">
        <f>IF(SUM(B33:F33,H33)=0,"",SUM(B33:F33,H33))</f>
        <v>1145</v>
      </c>
      <c r="J33" s="15">
        <f>IF(I33="","",1440-I33)</f>
        <v>295</v>
      </c>
      <c r="K33" s="16" t="s">
        <v>55</v>
      </c>
      <c r="L33" s="16" t="s">
        <v>58</v>
      </c>
      <c r="M33" s="16" t="s">
        <v>53</v>
      </c>
      <c r="N33" s="17" t="s">
        <v>74</v>
      </c>
    </row>
    <row r="34" spans="1:14" ht="43.2" x14ac:dyDescent="0.3">
      <c r="A34" s="13">
        <v>46268</v>
      </c>
      <c r="B34" s="14">
        <v>450</v>
      </c>
      <c r="C34" s="14">
        <v>20</v>
      </c>
      <c r="D34" s="14">
        <v>60</v>
      </c>
      <c r="E34" s="14">
        <v>45</v>
      </c>
      <c r="F34" s="9">
        <f t="shared" si="0"/>
        <v>300</v>
      </c>
      <c r="G34" s="9">
        <v>6</v>
      </c>
      <c r="H34" s="14">
        <v>150</v>
      </c>
      <c r="I34" s="15">
        <f>IF(SUM(B34:F34,H34)=0,"",SUM(B34:F34,H34))</f>
        <v>1025</v>
      </c>
      <c r="J34" s="15">
        <f>IF(I34="","",1440-I34)</f>
        <v>415</v>
      </c>
      <c r="K34" s="16" t="s">
        <v>57</v>
      </c>
      <c r="L34" s="16" t="s">
        <v>56</v>
      </c>
      <c r="M34" s="16" t="s">
        <v>57</v>
      </c>
      <c r="N34" s="17" t="s">
        <v>61</v>
      </c>
    </row>
    <row r="35" spans="1:14" ht="43.2" x14ac:dyDescent="0.3">
      <c r="A35" s="13">
        <v>46269</v>
      </c>
      <c r="B35" s="14">
        <v>465</v>
      </c>
      <c r="C35" s="14">
        <v>20</v>
      </c>
      <c r="D35" s="14">
        <v>75</v>
      </c>
      <c r="E35" s="14">
        <v>30</v>
      </c>
      <c r="F35" s="9">
        <f t="shared" si="0"/>
        <v>350</v>
      </c>
      <c r="G35" s="14">
        <v>7</v>
      </c>
      <c r="H35" s="14">
        <v>210</v>
      </c>
      <c r="I35" s="15">
        <f>IF(SUM(B35:F35,H35)=0,"",SUM(B35:F35,H35))</f>
        <v>1150</v>
      </c>
      <c r="J35" s="15">
        <f>IF(I35="","",1440-I35)</f>
        <v>290</v>
      </c>
      <c r="K35" s="16" t="s">
        <v>49</v>
      </c>
      <c r="L35" s="16" t="s">
        <v>54</v>
      </c>
      <c r="M35" s="16" t="s">
        <v>51</v>
      </c>
      <c r="N35" s="17" t="s">
        <v>62</v>
      </c>
    </row>
    <row r="36" spans="1:14" ht="28.8" x14ac:dyDescent="0.3">
      <c r="A36" s="13">
        <v>46270</v>
      </c>
      <c r="B36" s="14">
        <v>480</v>
      </c>
      <c r="C36" s="14">
        <v>25</v>
      </c>
      <c r="D36" s="14">
        <v>90</v>
      </c>
      <c r="E36" s="14">
        <v>30</v>
      </c>
      <c r="F36" s="9">
        <f t="shared" si="0"/>
        <v>0</v>
      </c>
      <c r="G36" s="14">
        <v>0</v>
      </c>
      <c r="H36" s="14">
        <v>270</v>
      </c>
      <c r="I36" s="15">
        <f>IF(SUM(B36:F36,H36)=0,"",SUM(B36:F36,H36))</f>
        <v>895</v>
      </c>
      <c r="J36" s="15">
        <f>IF(I36="","",1440-I36)</f>
        <v>545</v>
      </c>
      <c r="K36" s="16" t="s">
        <v>59</v>
      </c>
      <c r="L36" s="16" t="s">
        <v>60</v>
      </c>
      <c r="M36" s="16" t="s">
        <v>53</v>
      </c>
      <c r="N36" s="17" t="s">
        <v>63</v>
      </c>
    </row>
    <row r="37" spans="1:14" ht="43.2" x14ac:dyDescent="0.3">
      <c r="A37" s="13">
        <v>46271</v>
      </c>
      <c r="B37" s="14">
        <v>495</v>
      </c>
      <c r="C37" s="14">
        <v>70</v>
      </c>
      <c r="D37" s="14">
        <v>105</v>
      </c>
      <c r="E37" s="14">
        <v>135</v>
      </c>
      <c r="F37" s="9">
        <f t="shared" si="0"/>
        <v>0</v>
      </c>
      <c r="G37" s="14">
        <v>0</v>
      </c>
      <c r="H37" s="14">
        <v>330</v>
      </c>
      <c r="I37" s="15">
        <f>IF(SUM(B37:F37,H37)=0,"",SUM(B37:F37,H37))</f>
        <v>1135</v>
      </c>
      <c r="J37" s="15">
        <f>IF(I37="","",1440-I37)</f>
        <v>305</v>
      </c>
      <c r="K37" s="16" t="s">
        <v>54</v>
      </c>
      <c r="L37" s="16" t="s">
        <v>50</v>
      </c>
      <c r="M37" s="16" t="s">
        <v>57</v>
      </c>
      <c r="N37" s="17" t="s">
        <v>64</v>
      </c>
    </row>
    <row r="38" spans="1:14" ht="43.2" x14ac:dyDescent="0.3">
      <c r="A38" s="13">
        <v>46272</v>
      </c>
      <c r="B38" s="14">
        <v>510</v>
      </c>
      <c r="C38" s="14">
        <v>50</v>
      </c>
      <c r="D38" s="14">
        <v>120</v>
      </c>
      <c r="E38" s="14">
        <v>120</v>
      </c>
      <c r="F38" s="9">
        <f t="shared" si="0"/>
        <v>250</v>
      </c>
      <c r="G38" s="14">
        <v>5</v>
      </c>
      <c r="H38" s="14">
        <v>120</v>
      </c>
      <c r="I38" s="15">
        <f>IF(SUM(B38:F38,H38)=0,"",SUM(B38:F38,H38))</f>
        <v>1170</v>
      </c>
      <c r="J38" s="15">
        <f>IF(I38="","",1440-I38)</f>
        <v>270</v>
      </c>
      <c r="K38" s="16" t="s">
        <v>55</v>
      </c>
      <c r="L38" s="16" t="s">
        <v>58</v>
      </c>
      <c r="M38" s="16" t="s">
        <v>51</v>
      </c>
      <c r="N38" s="17" t="s">
        <v>65</v>
      </c>
    </row>
    <row r="39" spans="1:14" ht="43.2" x14ac:dyDescent="0.3">
      <c r="A39" s="13">
        <v>46273</v>
      </c>
      <c r="B39" s="14">
        <v>390</v>
      </c>
      <c r="C39" s="14">
        <v>40</v>
      </c>
      <c r="D39" s="14">
        <v>135</v>
      </c>
      <c r="E39" s="14">
        <v>105</v>
      </c>
      <c r="F39" s="9">
        <f t="shared" si="0"/>
        <v>250</v>
      </c>
      <c r="G39" s="14">
        <v>5</v>
      </c>
      <c r="H39" s="14">
        <v>180</v>
      </c>
      <c r="I39" s="15">
        <f>IF(SUM(B39:F39,H39)=0,"",SUM(B39:F39,H39))</f>
        <v>1100</v>
      </c>
      <c r="J39" s="15">
        <f>IF(I39="","",1440-I39)</f>
        <v>340</v>
      </c>
      <c r="K39" s="16" t="s">
        <v>57</v>
      </c>
      <c r="L39" s="16" t="s">
        <v>56</v>
      </c>
      <c r="M39" s="16" t="s">
        <v>53</v>
      </c>
      <c r="N39" s="17" t="s">
        <v>66</v>
      </c>
    </row>
    <row r="40" spans="1:14" ht="43.2" x14ac:dyDescent="0.3">
      <c r="A40" s="13">
        <v>46274</v>
      </c>
      <c r="B40" s="14">
        <v>405</v>
      </c>
      <c r="C40" s="14">
        <v>45</v>
      </c>
      <c r="D40" s="14">
        <v>150</v>
      </c>
      <c r="E40" s="14">
        <v>90</v>
      </c>
      <c r="F40" s="9">
        <f t="shared" si="0"/>
        <v>200</v>
      </c>
      <c r="G40" s="14">
        <v>4</v>
      </c>
      <c r="H40" s="14">
        <v>240</v>
      </c>
      <c r="I40" s="15">
        <f>IF(SUM(B40:F40,H40)=0,"",SUM(B40:F40,H40))</f>
        <v>1130</v>
      </c>
      <c r="J40" s="15">
        <f>IF(I40="","",1440-I40)</f>
        <v>310</v>
      </c>
      <c r="K40" s="16" t="s">
        <v>49</v>
      </c>
      <c r="L40" s="16" t="s">
        <v>54</v>
      </c>
      <c r="M40" s="16" t="s">
        <v>57</v>
      </c>
      <c r="N40" s="17" t="s">
        <v>67</v>
      </c>
    </row>
    <row r="41" spans="1:14" ht="43.2" x14ac:dyDescent="0.3">
      <c r="A41" s="13">
        <v>46275</v>
      </c>
      <c r="B41" s="14">
        <v>420</v>
      </c>
      <c r="C41" s="14">
        <v>50</v>
      </c>
      <c r="D41" s="14">
        <v>165</v>
      </c>
      <c r="E41" s="14">
        <v>75</v>
      </c>
      <c r="F41" s="9">
        <f t="shared" si="0"/>
        <v>300</v>
      </c>
      <c r="G41" s="9">
        <v>6</v>
      </c>
      <c r="H41" s="14">
        <v>300</v>
      </c>
      <c r="I41" s="15">
        <f>IF(SUM(B41:F41,H41)=0,"",SUM(B41:F41,H41))</f>
        <v>1310</v>
      </c>
      <c r="J41" s="15">
        <f>IF(I41="","",1440-I41)</f>
        <v>130</v>
      </c>
      <c r="K41" s="16" t="s">
        <v>59</v>
      </c>
      <c r="L41" s="16" t="s">
        <v>60</v>
      </c>
      <c r="M41" s="16" t="s">
        <v>51</v>
      </c>
      <c r="N41" s="17" t="s">
        <v>68</v>
      </c>
    </row>
    <row r="42" spans="1:14" ht="43.2" x14ac:dyDescent="0.3">
      <c r="A42" s="13">
        <v>46276</v>
      </c>
      <c r="B42" s="14">
        <v>435</v>
      </c>
      <c r="C42" s="14">
        <v>75</v>
      </c>
      <c r="D42" s="14">
        <v>180</v>
      </c>
      <c r="E42" s="14">
        <v>60</v>
      </c>
      <c r="F42" s="9">
        <f t="shared" si="0"/>
        <v>350</v>
      </c>
      <c r="G42" s="14">
        <v>7</v>
      </c>
      <c r="H42" s="14">
        <v>300</v>
      </c>
      <c r="I42" s="15">
        <f>IF(SUM(B42:F42,H42)=0,"",SUM(B42:F42,H42))</f>
        <v>1400</v>
      </c>
      <c r="J42" s="15">
        <f>IF(I42="","",1440-I42)</f>
        <v>40</v>
      </c>
      <c r="K42" s="16" t="s">
        <v>54</v>
      </c>
      <c r="L42" s="16" t="s">
        <v>50</v>
      </c>
      <c r="M42" s="16" t="s">
        <v>53</v>
      </c>
      <c r="N42" s="17" t="s">
        <v>69</v>
      </c>
    </row>
    <row r="43" spans="1:14" ht="43.2" x14ac:dyDescent="0.3">
      <c r="A43" s="13">
        <v>46277</v>
      </c>
      <c r="B43" s="14">
        <v>450</v>
      </c>
      <c r="C43" s="14">
        <v>100</v>
      </c>
      <c r="D43" s="14">
        <v>45</v>
      </c>
      <c r="E43" s="14">
        <v>45</v>
      </c>
      <c r="F43" s="9">
        <f t="shared" si="0"/>
        <v>0</v>
      </c>
      <c r="G43" s="14">
        <v>0</v>
      </c>
      <c r="H43" s="14">
        <v>150</v>
      </c>
      <c r="I43" s="15">
        <f>IF(SUM(B43:F43,H43)=0,"",SUM(B43:F43,H43))</f>
        <v>790</v>
      </c>
      <c r="J43" s="15">
        <f>IF(I43="","",1440-I43)</f>
        <v>650</v>
      </c>
      <c r="K43" s="16" t="s">
        <v>55</v>
      </c>
      <c r="L43" s="16" t="s">
        <v>58</v>
      </c>
      <c r="M43" s="16" t="s">
        <v>57</v>
      </c>
      <c r="N43" s="17" t="s">
        <v>70</v>
      </c>
    </row>
    <row r="44" spans="1:14" ht="43.2" x14ac:dyDescent="0.3">
      <c r="A44" s="13">
        <v>46278</v>
      </c>
      <c r="B44" s="14">
        <v>465</v>
      </c>
      <c r="C44" s="14">
        <v>90</v>
      </c>
      <c r="D44" s="14">
        <v>60</v>
      </c>
      <c r="E44" s="14">
        <v>30</v>
      </c>
      <c r="F44" s="9">
        <f t="shared" si="0"/>
        <v>0</v>
      </c>
      <c r="G44" s="14">
        <v>0</v>
      </c>
      <c r="H44" s="14">
        <v>210</v>
      </c>
      <c r="I44" s="15">
        <f>IF(SUM(B44:F44,H44)=0,"",SUM(B44:F44,H44))</f>
        <v>855</v>
      </c>
      <c r="J44" s="15">
        <f>IF(I44="","",1440-I44)</f>
        <v>585</v>
      </c>
      <c r="K44" s="16" t="s">
        <v>57</v>
      </c>
      <c r="L44" s="16" t="s">
        <v>56</v>
      </c>
      <c r="M44" s="16" t="s">
        <v>51</v>
      </c>
      <c r="N44" s="17" t="s">
        <v>71</v>
      </c>
    </row>
    <row r="45" spans="1:14" ht="43.2" x14ac:dyDescent="0.3">
      <c r="A45" s="13">
        <v>46279</v>
      </c>
      <c r="B45" s="14">
        <v>480</v>
      </c>
      <c r="C45" s="14">
        <v>100</v>
      </c>
      <c r="D45" s="14">
        <v>75</v>
      </c>
      <c r="E45" s="14">
        <v>150</v>
      </c>
      <c r="F45" s="9">
        <f t="shared" si="0"/>
        <v>250</v>
      </c>
      <c r="G45" s="14">
        <v>5</v>
      </c>
      <c r="H45" s="14">
        <v>270</v>
      </c>
      <c r="I45" s="15">
        <f>IF(SUM(B45:F45,H45)=0,"",SUM(B45:F45,H45))</f>
        <v>1325</v>
      </c>
      <c r="J45" s="15">
        <f>IF(I45="","",1440-I45)</f>
        <v>115</v>
      </c>
      <c r="K45" s="16" t="s">
        <v>49</v>
      </c>
      <c r="L45" s="16" t="s">
        <v>54</v>
      </c>
      <c r="M45" s="16" t="s">
        <v>53</v>
      </c>
      <c r="N45" s="17" t="s">
        <v>72</v>
      </c>
    </row>
    <row r="46" spans="1:14" ht="43.2" x14ac:dyDescent="0.3">
      <c r="A46" s="13">
        <v>46280</v>
      </c>
      <c r="B46" s="14">
        <v>495</v>
      </c>
      <c r="C46" s="14">
        <v>0</v>
      </c>
      <c r="D46" s="14">
        <v>90</v>
      </c>
      <c r="E46" s="14">
        <v>135</v>
      </c>
      <c r="F46" s="9">
        <f t="shared" si="0"/>
        <v>250</v>
      </c>
      <c r="G46" s="14">
        <v>5</v>
      </c>
      <c r="H46" s="14">
        <v>330</v>
      </c>
      <c r="I46" s="15">
        <f>IF(SUM(B46:F46,H46)=0,"",SUM(B46:F46,H46))</f>
        <v>1300</v>
      </c>
      <c r="J46" s="15">
        <f>IF(I46="","",1440-I46)</f>
        <v>140</v>
      </c>
      <c r="K46" s="16" t="s">
        <v>59</v>
      </c>
      <c r="L46" s="16" t="s">
        <v>60</v>
      </c>
      <c r="M46" s="16" t="s">
        <v>57</v>
      </c>
      <c r="N46" s="17" t="s">
        <v>73</v>
      </c>
    </row>
    <row r="47" spans="1:14" ht="43.2" x14ac:dyDescent="0.3">
      <c r="A47" s="13">
        <v>46281</v>
      </c>
      <c r="B47" s="14">
        <v>510</v>
      </c>
      <c r="C47" s="14">
        <v>80</v>
      </c>
      <c r="D47" s="14">
        <v>105</v>
      </c>
      <c r="E47" s="14">
        <v>120</v>
      </c>
      <c r="F47" s="9">
        <f t="shared" si="0"/>
        <v>200</v>
      </c>
      <c r="G47" s="14">
        <v>4</v>
      </c>
      <c r="H47" s="14">
        <v>120</v>
      </c>
      <c r="I47" s="15">
        <f>IF(SUM(B47:F47,H47)=0,"",SUM(B47:F47,H47))</f>
        <v>1135</v>
      </c>
      <c r="J47" s="15">
        <f>IF(I47="","",1440-I47)</f>
        <v>305</v>
      </c>
      <c r="K47" s="16" t="s">
        <v>54</v>
      </c>
      <c r="L47" s="16" t="s">
        <v>50</v>
      </c>
      <c r="M47" s="16" t="s">
        <v>51</v>
      </c>
      <c r="N47" s="17" t="s">
        <v>74</v>
      </c>
    </row>
    <row r="48" spans="1:14" ht="43.2" x14ac:dyDescent="0.3">
      <c r="A48" s="13">
        <v>46282</v>
      </c>
      <c r="B48" s="14">
        <v>390</v>
      </c>
      <c r="C48" s="14">
        <v>50</v>
      </c>
      <c r="D48" s="14">
        <v>120</v>
      </c>
      <c r="E48" s="14">
        <v>105</v>
      </c>
      <c r="F48" s="9">
        <f t="shared" si="0"/>
        <v>300</v>
      </c>
      <c r="G48" s="9">
        <v>6</v>
      </c>
      <c r="H48" s="14">
        <v>180</v>
      </c>
      <c r="I48" s="15">
        <f>IF(SUM(B48:F48,H48)=0,"",SUM(B48:F48,H48))</f>
        <v>1145</v>
      </c>
      <c r="J48" s="15">
        <f>IF(I48="","",1440-I48)</f>
        <v>295</v>
      </c>
      <c r="K48" s="16" t="s">
        <v>55</v>
      </c>
      <c r="L48" s="16" t="s">
        <v>58</v>
      </c>
      <c r="M48" s="16" t="s">
        <v>53</v>
      </c>
      <c r="N48" s="17" t="s">
        <v>61</v>
      </c>
    </row>
    <row r="49" spans="1:14" ht="43.2" x14ac:dyDescent="0.3">
      <c r="A49" s="13">
        <v>46283</v>
      </c>
      <c r="B49" s="14">
        <v>405</v>
      </c>
      <c r="C49" s="14">
        <v>0</v>
      </c>
      <c r="D49" s="14">
        <v>135</v>
      </c>
      <c r="E49" s="14">
        <v>90</v>
      </c>
      <c r="F49" s="9">
        <f t="shared" si="0"/>
        <v>350</v>
      </c>
      <c r="G49" s="14">
        <v>7</v>
      </c>
      <c r="H49" s="14">
        <v>240</v>
      </c>
      <c r="I49" s="15">
        <f>IF(SUM(B49:F49,H49)=0,"",SUM(B49:F49,H49))</f>
        <v>1220</v>
      </c>
      <c r="J49" s="15">
        <f>IF(I49="","",1440-I49)</f>
        <v>220</v>
      </c>
      <c r="K49" s="16" t="s">
        <v>57</v>
      </c>
      <c r="L49" s="16" t="s">
        <v>56</v>
      </c>
      <c r="M49" s="16" t="s">
        <v>57</v>
      </c>
      <c r="N49" s="17" t="s">
        <v>62</v>
      </c>
    </row>
    <row r="50" spans="1:14" ht="28.8" x14ac:dyDescent="0.3">
      <c r="A50" s="13">
        <v>46284</v>
      </c>
      <c r="B50" s="14">
        <v>420</v>
      </c>
      <c r="C50" s="14">
        <v>45</v>
      </c>
      <c r="D50" s="14">
        <v>150</v>
      </c>
      <c r="E50" s="14">
        <v>75</v>
      </c>
      <c r="F50" s="9">
        <f t="shared" si="0"/>
        <v>0</v>
      </c>
      <c r="G50" s="14">
        <v>0</v>
      </c>
      <c r="H50" s="14">
        <v>300</v>
      </c>
      <c r="I50" s="15">
        <f>IF(SUM(B50:F50,H50)=0,"",SUM(B50:F50,H50))</f>
        <v>990</v>
      </c>
      <c r="J50" s="15">
        <f>IF(I50="","",1440-I50)</f>
        <v>450</v>
      </c>
      <c r="K50" s="16" t="s">
        <v>49</v>
      </c>
      <c r="L50" s="16" t="s">
        <v>54</v>
      </c>
      <c r="M50" s="16" t="s">
        <v>51</v>
      </c>
      <c r="N50" s="17" t="s">
        <v>63</v>
      </c>
    </row>
    <row r="51" spans="1:14" ht="43.2" x14ac:dyDescent="0.3">
      <c r="A51" s="13">
        <v>46285</v>
      </c>
      <c r="B51" s="14">
        <v>435</v>
      </c>
      <c r="C51" s="14">
        <v>60</v>
      </c>
      <c r="D51" s="14">
        <v>45</v>
      </c>
      <c r="E51" s="14">
        <v>60</v>
      </c>
      <c r="F51" s="9">
        <f t="shared" si="0"/>
        <v>0</v>
      </c>
      <c r="G51" s="14">
        <v>0</v>
      </c>
      <c r="H51" s="14">
        <v>360</v>
      </c>
      <c r="I51" s="15">
        <f>IF(SUM(B51:F51,H51)=0,"",SUM(B51:F51,H51))</f>
        <v>960</v>
      </c>
      <c r="J51" s="15">
        <f>IF(I51="","",1440-I51)</f>
        <v>480</v>
      </c>
      <c r="K51" s="16" t="s">
        <v>59</v>
      </c>
      <c r="L51" s="16" t="s">
        <v>60</v>
      </c>
      <c r="M51" s="16" t="s">
        <v>53</v>
      </c>
      <c r="N51" s="17" t="s">
        <v>64</v>
      </c>
    </row>
    <row r="52" spans="1:14" ht="43.2" x14ac:dyDescent="0.3">
      <c r="A52" s="13">
        <v>46286</v>
      </c>
      <c r="B52" s="14">
        <v>450</v>
      </c>
      <c r="C52" s="14">
        <v>55</v>
      </c>
      <c r="D52" s="14">
        <v>180</v>
      </c>
      <c r="E52" s="14">
        <v>45</v>
      </c>
      <c r="F52" s="9">
        <f t="shared" si="0"/>
        <v>250</v>
      </c>
      <c r="G52" s="14">
        <v>5</v>
      </c>
      <c r="H52" s="14">
        <v>150</v>
      </c>
      <c r="I52" s="15">
        <f>IF(SUM(B52:F52,H52)=0,"",SUM(B52:F52,H52))</f>
        <v>1130</v>
      </c>
      <c r="J52" s="15">
        <f>IF(I52="","",1440-I52)</f>
        <v>310</v>
      </c>
      <c r="K52" s="16" t="s">
        <v>54</v>
      </c>
      <c r="L52" s="16" t="s">
        <v>50</v>
      </c>
      <c r="M52" s="16" t="s">
        <v>57</v>
      </c>
      <c r="N52" s="17" t="s">
        <v>65</v>
      </c>
    </row>
    <row r="53" spans="1:14" ht="43.2" x14ac:dyDescent="0.3">
      <c r="A53" s="13">
        <v>46287</v>
      </c>
      <c r="B53" s="14">
        <v>465</v>
      </c>
      <c r="C53" s="14">
        <v>0</v>
      </c>
      <c r="D53" s="14">
        <v>45</v>
      </c>
      <c r="E53" s="14">
        <v>30</v>
      </c>
      <c r="F53" s="9">
        <f t="shared" si="0"/>
        <v>250</v>
      </c>
      <c r="G53" s="14">
        <v>5</v>
      </c>
      <c r="H53" s="14">
        <v>210</v>
      </c>
      <c r="I53" s="15">
        <f>IF(SUM(B53:F53,H53)=0,"",SUM(B53:F53,H53))</f>
        <v>1000</v>
      </c>
      <c r="J53" s="15">
        <f>IF(I53="","",1440-I53)</f>
        <v>440</v>
      </c>
      <c r="K53" s="16" t="s">
        <v>55</v>
      </c>
      <c r="L53" s="16" t="s">
        <v>58</v>
      </c>
      <c r="M53" s="16" t="s">
        <v>51</v>
      </c>
      <c r="N53" s="17" t="s">
        <v>66</v>
      </c>
    </row>
    <row r="54" spans="1:14" ht="43.2" x14ac:dyDescent="0.3">
      <c r="A54" s="13">
        <v>46288</v>
      </c>
      <c r="B54" s="14">
        <v>480</v>
      </c>
      <c r="C54" s="14">
        <v>100</v>
      </c>
      <c r="D54" s="14">
        <v>60</v>
      </c>
      <c r="E54" s="14">
        <v>150</v>
      </c>
      <c r="F54" s="9">
        <f t="shared" si="0"/>
        <v>200</v>
      </c>
      <c r="G54" s="14">
        <v>4</v>
      </c>
      <c r="H54" s="14">
        <v>270</v>
      </c>
      <c r="I54" s="15">
        <f>IF(SUM(B54:F54,H54)=0,"",SUM(B54:F54,H54))</f>
        <v>1260</v>
      </c>
      <c r="J54" s="15">
        <f>IF(I54="","",1440-I54)</f>
        <v>180</v>
      </c>
      <c r="K54" s="16" t="s">
        <v>57</v>
      </c>
      <c r="L54" s="16" t="s">
        <v>56</v>
      </c>
      <c r="M54" s="16" t="s">
        <v>53</v>
      </c>
      <c r="N54" s="17" t="s">
        <v>67</v>
      </c>
    </row>
    <row r="55" spans="1:14" ht="43.2" x14ac:dyDescent="0.3">
      <c r="A55" s="13">
        <v>46289</v>
      </c>
      <c r="B55" s="14">
        <v>495</v>
      </c>
      <c r="C55" s="14">
        <v>0</v>
      </c>
      <c r="D55" s="14">
        <v>75</v>
      </c>
      <c r="E55" s="14">
        <v>135</v>
      </c>
      <c r="F55" s="9">
        <f t="shared" si="0"/>
        <v>300</v>
      </c>
      <c r="G55" s="9">
        <v>6</v>
      </c>
      <c r="H55" s="14">
        <v>330</v>
      </c>
      <c r="I55" s="15">
        <f>IF(SUM(B55:F55,H55)=0,"",SUM(B55:F55,H55))</f>
        <v>1335</v>
      </c>
      <c r="J55" s="15">
        <f>IF(I55="","",1440-I55)</f>
        <v>105</v>
      </c>
      <c r="K55" s="16" t="s">
        <v>49</v>
      </c>
      <c r="L55" s="16" t="s">
        <v>54</v>
      </c>
      <c r="M55" s="16" t="s">
        <v>57</v>
      </c>
      <c r="N55" s="17" t="s">
        <v>68</v>
      </c>
    </row>
    <row r="56" spans="1:14" ht="43.2" x14ac:dyDescent="0.3">
      <c r="A56" s="13">
        <v>46290</v>
      </c>
      <c r="B56" s="14">
        <v>510</v>
      </c>
      <c r="C56" s="14">
        <v>75</v>
      </c>
      <c r="D56" s="14">
        <v>90</v>
      </c>
      <c r="E56" s="14">
        <v>120</v>
      </c>
      <c r="F56" s="9">
        <f t="shared" si="0"/>
        <v>350</v>
      </c>
      <c r="G56" s="14">
        <v>7</v>
      </c>
      <c r="H56" s="14">
        <v>120</v>
      </c>
      <c r="I56" s="15">
        <f>IF(SUM(B56:F56,H56)=0,"",SUM(B56:F56,H56))</f>
        <v>1265</v>
      </c>
      <c r="J56" s="15">
        <f>IF(I56="","",1440-I56)</f>
        <v>175</v>
      </c>
      <c r="K56" s="16" t="s">
        <v>59</v>
      </c>
      <c r="L56" s="16" t="s">
        <v>60</v>
      </c>
      <c r="M56" s="16" t="s">
        <v>51</v>
      </c>
      <c r="N56" s="17" t="s">
        <v>69</v>
      </c>
    </row>
    <row r="57" spans="1:14" ht="43.2" x14ac:dyDescent="0.3">
      <c r="A57" s="13">
        <v>46291</v>
      </c>
      <c r="B57" s="14">
        <v>390</v>
      </c>
      <c r="C57" s="14">
        <v>0</v>
      </c>
      <c r="D57" s="14">
        <v>105</v>
      </c>
      <c r="E57" s="14">
        <v>105</v>
      </c>
      <c r="F57" s="9">
        <f t="shared" si="0"/>
        <v>0</v>
      </c>
      <c r="G57" s="14">
        <v>0</v>
      </c>
      <c r="H57" s="14">
        <v>180</v>
      </c>
      <c r="I57" s="15">
        <f>IF(SUM(B57:F57,H57)=0,"",SUM(B57:F57,H57))</f>
        <v>780</v>
      </c>
      <c r="J57" s="15">
        <f>IF(I57="","",1440-I57)</f>
        <v>660</v>
      </c>
      <c r="K57" s="16" t="s">
        <v>54</v>
      </c>
      <c r="L57" s="16" t="s">
        <v>50</v>
      </c>
      <c r="M57" s="16" t="s">
        <v>53</v>
      </c>
      <c r="N57" s="17" t="s">
        <v>70</v>
      </c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ref="I6:I69" si="1">IF(SUM(B58:F58,H58)=0,"",SUM(B58:F58,H58))</f>
        <v/>
      </c>
      <c r="J58" s="15" t="str">
        <f t="shared" ref="J6:J69" si="2">IF(I58="","",1440-I58)</f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2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2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2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2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2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2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2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2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2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2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2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3">IF(SUM(B70:F70,H70)=0,"",SUM(B70:F70,H70))</f>
        <v/>
      </c>
      <c r="J70" s="15" t="str">
        <f t="shared" ref="J70:J133" si="4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3"/>
        <v/>
      </c>
      <c r="J71" s="15" t="str">
        <f t="shared" si="4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3"/>
        <v/>
      </c>
      <c r="J72" s="15" t="str">
        <f t="shared" si="4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3"/>
        <v/>
      </c>
      <c r="J73" s="15" t="str">
        <f t="shared" si="4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3"/>
        <v/>
      </c>
      <c r="J74" s="15" t="str">
        <f t="shared" si="4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4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4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4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4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4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4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4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4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4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4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4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si="4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4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4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4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4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4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4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4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4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4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4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4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4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4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4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3"/>
        <v/>
      </c>
      <c r="J101" s="15" t="str">
        <f t="shared" si="4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3"/>
        <v/>
      </c>
      <c r="J102" s="15" t="str">
        <f t="shared" si="4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3"/>
        <v/>
      </c>
      <c r="J103" s="15" t="str">
        <f t="shared" si="4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3"/>
        <v/>
      </c>
      <c r="J104" s="15" t="str">
        <f t="shared" si="4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3"/>
        <v/>
      </c>
      <c r="J105" s="15" t="str">
        <f t="shared" si="4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3"/>
        <v/>
      </c>
      <c r="J106" s="15" t="str">
        <f t="shared" si="4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3"/>
        <v/>
      </c>
      <c r="J107" s="15" t="str">
        <f t="shared" si="4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3"/>
        <v/>
      </c>
      <c r="J108" s="15" t="str">
        <f t="shared" si="4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3"/>
        <v/>
      </c>
      <c r="J109" s="15" t="str">
        <f t="shared" si="4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3"/>
        <v/>
      </c>
      <c r="J110" s="15" t="str">
        <f t="shared" si="4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3"/>
        <v/>
      </c>
      <c r="J111" s="15" t="str">
        <f t="shared" si="4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3"/>
        <v/>
      </c>
      <c r="J112" s="15" t="str">
        <f t="shared" si="4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3"/>
        <v/>
      </c>
      <c r="J113" s="15" t="str">
        <f t="shared" si="4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3"/>
        <v/>
      </c>
      <c r="J114" s="15" t="str">
        <f t="shared" si="4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3"/>
        <v/>
      </c>
      <c r="J115" s="15" t="str">
        <f t="shared" si="4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3"/>
        <v/>
      </c>
      <c r="J116" s="15" t="str">
        <f t="shared" si="4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3"/>
        <v/>
      </c>
      <c r="J117" s="15" t="str">
        <f t="shared" si="4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3"/>
        <v/>
      </c>
      <c r="J118" s="15" t="str">
        <f t="shared" si="4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3"/>
        <v/>
      </c>
      <c r="J119" s="15" t="str">
        <f t="shared" si="4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3"/>
        <v/>
      </c>
      <c r="J120" s="15" t="str">
        <f t="shared" si="4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3"/>
        <v/>
      </c>
      <c r="J121" s="15" t="str">
        <f t="shared" si="4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3"/>
        <v/>
      </c>
      <c r="J122" s="15" t="str">
        <f t="shared" si="4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3"/>
        <v/>
      </c>
      <c r="J123" s="15" t="str">
        <f t="shared" si="4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3"/>
        <v/>
      </c>
      <c r="J124" s="15" t="str">
        <f t="shared" si="4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3"/>
        <v/>
      </c>
      <c r="J125" s="15" t="str">
        <f t="shared" si="4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3"/>
        <v/>
      </c>
      <c r="J126" s="15" t="str">
        <f t="shared" si="4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3"/>
        <v/>
      </c>
      <c r="J127" s="15" t="str">
        <f t="shared" si="4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3"/>
        <v/>
      </c>
      <c r="J128" s="15" t="str">
        <f t="shared" si="4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3"/>
        <v/>
      </c>
      <c r="J129" s="15" t="str">
        <f t="shared" si="4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3"/>
        <v/>
      </c>
      <c r="J130" s="15" t="str">
        <f t="shared" si="4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3"/>
        <v/>
      </c>
      <c r="J131" s="15" t="str">
        <f t="shared" si="4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3"/>
        <v/>
      </c>
      <c r="J132" s="15" t="str">
        <f t="shared" si="4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3"/>
        <v/>
      </c>
      <c r="J133" s="15" t="str">
        <f t="shared" si="4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5">IF(SUM(B134:F134,H134)=0,"",SUM(B134:F134,H134))</f>
        <v/>
      </c>
      <c r="J134" s="15" t="str">
        <f t="shared" ref="J134:J197" si="6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6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6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6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6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6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6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6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6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6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6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6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6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6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6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6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5"/>
        <v/>
      </c>
      <c r="J150" s="15" t="str">
        <f t="shared" si="6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5"/>
        <v/>
      </c>
      <c r="J151" s="15" t="str">
        <f t="shared" si="6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5"/>
        <v/>
      </c>
      <c r="J152" s="15" t="str">
        <f t="shared" si="6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5"/>
        <v/>
      </c>
      <c r="J153" s="15" t="str">
        <f t="shared" si="6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5"/>
        <v/>
      </c>
      <c r="J154" s="15" t="str">
        <f t="shared" si="6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5"/>
        <v/>
      </c>
      <c r="J155" s="15" t="str">
        <f t="shared" si="6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5"/>
        <v/>
      </c>
      <c r="J156" s="15" t="str">
        <f t="shared" si="6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5"/>
        <v/>
      </c>
      <c r="J157" s="15" t="str">
        <f t="shared" si="6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5"/>
        <v/>
      </c>
      <c r="J158" s="15" t="str">
        <f t="shared" si="6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5"/>
        <v/>
      </c>
      <c r="J159" s="15" t="str">
        <f t="shared" si="6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5"/>
        <v/>
      </c>
      <c r="J160" s="15" t="str">
        <f t="shared" si="6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5"/>
        <v/>
      </c>
      <c r="J161" s="15" t="str">
        <f t="shared" si="6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5"/>
        <v/>
      </c>
      <c r="J162" s="15" t="str">
        <f t="shared" si="6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5"/>
        <v/>
      </c>
      <c r="J163" s="15" t="str">
        <f t="shared" si="6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5"/>
        <v/>
      </c>
      <c r="J164" s="15" t="str">
        <f t="shared" si="6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5"/>
        <v/>
      </c>
      <c r="J165" s="15" t="str">
        <f t="shared" si="6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5"/>
        <v/>
      </c>
      <c r="J166" s="15" t="str">
        <f t="shared" si="6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5"/>
        <v/>
      </c>
      <c r="J167" s="15" t="str">
        <f t="shared" si="6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5"/>
        <v/>
      </c>
      <c r="J168" s="15" t="str">
        <f t="shared" si="6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5"/>
        <v/>
      </c>
      <c r="J169" s="15" t="str">
        <f t="shared" si="6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5"/>
        <v/>
      </c>
      <c r="J170" s="15" t="str">
        <f t="shared" si="6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5"/>
        <v/>
      </c>
      <c r="J171" s="15" t="str">
        <f t="shared" si="6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5"/>
        <v/>
      </c>
      <c r="J172" s="15" t="str">
        <f t="shared" si="6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5"/>
        <v/>
      </c>
      <c r="J173" s="15" t="str">
        <f t="shared" si="6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5"/>
        <v/>
      </c>
      <c r="J174" s="15" t="str">
        <f t="shared" si="6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5"/>
        <v/>
      </c>
      <c r="J175" s="15" t="str">
        <f t="shared" si="6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5"/>
        <v/>
      </c>
      <c r="J176" s="15" t="str">
        <f t="shared" si="6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5"/>
        <v/>
      </c>
      <c r="J177" s="15" t="str">
        <f t="shared" si="6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5"/>
        <v/>
      </c>
      <c r="J178" s="15" t="str">
        <f t="shared" si="6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5"/>
        <v/>
      </c>
      <c r="J179" s="15" t="str">
        <f t="shared" si="6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5"/>
        <v/>
      </c>
      <c r="J180" s="15" t="str">
        <f t="shared" si="6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5"/>
        <v/>
      </c>
      <c r="J181" s="15" t="str">
        <f t="shared" si="6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5"/>
        <v/>
      </c>
      <c r="J182" s="15" t="str">
        <f t="shared" si="6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5"/>
        <v/>
      </c>
      <c r="J183" s="15" t="str">
        <f t="shared" si="6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5"/>
        <v/>
      </c>
      <c r="J184" s="15" t="str">
        <f t="shared" si="6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5"/>
        <v/>
      </c>
      <c r="J185" s="15" t="str">
        <f t="shared" si="6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5"/>
        <v/>
      </c>
      <c r="J186" s="15" t="str">
        <f t="shared" si="6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5"/>
        <v/>
      </c>
      <c r="J187" s="15" t="str">
        <f t="shared" si="6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5"/>
        <v/>
      </c>
      <c r="J188" s="15" t="str">
        <f t="shared" si="6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5"/>
        <v/>
      </c>
      <c r="J189" s="15" t="str">
        <f t="shared" si="6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5"/>
        <v/>
      </c>
      <c r="J190" s="15" t="str">
        <f t="shared" si="6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5"/>
        <v/>
      </c>
      <c r="J191" s="15" t="str">
        <f t="shared" si="6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5"/>
        <v/>
      </c>
      <c r="J192" s="15" t="str">
        <f t="shared" si="6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5"/>
        <v/>
      </c>
      <c r="J193" s="15" t="str">
        <f t="shared" si="6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5"/>
        <v/>
      </c>
      <c r="J194" s="15" t="str">
        <f t="shared" si="6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5"/>
        <v/>
      </c>
      <c r="J195" s="15" t="str">
        <f t="shared" si="6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5"/>
        <v/>
      </c>
      <c r="J196" s="15" t="str">
        <f t="shared" si="6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5"/>
        <v/>
      </c>
      <c r="J197" s="15" t="str">
        <f t="shared" si="6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7">IF(SUM(B198:F198,H198)=0,"",SUM(B198:F198,H198))</f>
        <v/>
      </c>
      <c r="J198" s="15" t="str">
        <f t="shared" ref="J198:J261" si="8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8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8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8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8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8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8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8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7"/>
        <v/>
      </c>
      <c r="J206" s="15" t="str">
        <f t="shared" si="8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7"/>
        <v/>
      </c>
      <c r="J207" s="15" t="str">
        <f t="shared" si="8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7"/>
        <v/>
      </c>
      <c r="J208" s="15" t="str">
        <f t="shared" si="8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7"/>
        <v/>
      </c>
      <c r="J209" s="15" t="str">
        <f t="shared" si="8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7"/>
        <v/>
      </c>
      <c r="J210" s="15" t="str">
        <f t="shared" si="8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7"/>
        <v/>
      </c>
      <c r="J211" s="15" t="str">
        <f t="shared" si="8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7"/>
        <v/>
      </c>
      <c r="J212" s="15" t="str">
        <f t="shared" si="8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7"/>
        <v/>
      </c>
      <c r="J213" s="15" t="str">
        <f t="shared" si="8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7"/>
        <v/>
      </c>
      <c r="J214" s="15" t="str">
        <f t="shared" si="8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7"/>
        <v/>
      </c>
      <c r="J215" s="15" t="str">
        <f t="shared" si="8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7"/>
        <v/>
      </c>
      <c r="J216" s="15" t="str">
        <f t="shared" si="8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7"/>
        <v/>
      </c>
      <c r="J217" s="15" t="str">
        <f t="shared" si="8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7"/>
        <v/>
      </c>
      <c r="J218" s="15" t="str">
        <f t="shared" si="8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7"/>
        <v/>
      </c>
      <c r="J219" s="15" t="str">
        <f t="shared" si="8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7"/>
        <v/>
      </c>
      <c r="J220" s="15" t="str">
        <f t="shared" si="8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7"/>
        <v/>
      </c>
      <c r="J221" s="15" t="str">
        <f t="shared" si="8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7"/>
        <v/>
      </c>
      <c r="J222" s="15" t="str">
        <f t="shared" si="8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7"/>
        <v/>
      </c>
      <c r="J223" s="15" t="str">
        <f t="shared" si="8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7"/>
        <v/>
      </c>
      <c r="J224" s="15" t="str">
        <f t="shared" si="8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7"/>
        <v/>
      </c>
      <c r="J225" s="15" t="str">
        <f t="shared" si="8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7"/>
        <v/>
      </c>
      <c r="J226" s="15" t="str">
        <f t="shared" si="8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7"/>
        <v/>
      </c>
      <c r="J227" s="15" t="str">
        <f t="shared" si="8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7"/>
        <v/>
      </c>
      <c r="J228" s="15" t="str">
        <f t="shared" si="8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7"/>
        <v/>
      </c>
      <c r="J229" s="15" t="str">
        <f t="shared" si="8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7"/>
        <v/>
      </c>
      <c r="J230" s="15" t="str">
        <f t="shared" si="8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7"/>
        <v/>
      </c>
      <c r="J231" s="15" t="str">
        <f t="shared" si="8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7"/>
        <v/>
      </c>
      <c r="J232" s="15" t="str">
        <f t="shared" si="8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7"/>
        <v/>
      </c>
      <c r="J233" s="15" t="str">
        <f t="shared" si="8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7"/>
        <v/>
      </c>
      <c r="J234" s="15" t="str">
        <f t="shared" si="8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7"/>
        <v/>
      </c>
      <c r="J235" s="15" t="str">
        <f t="shared" si="8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7"/>
        <v/>
      </c>
      <c r="J236" s="15" t="str">
        <f t="shared" si="8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7"/>
        <v/>
      </c>
      <c r="J237" s="15" t="str">
        <f t="shared" si="8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7"/>
        <v/>
      </c>
      <c r="J238" s="15" t="str">
        <f t="shared" si="8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7"/>
        <v/>
      </c>
      <c r="J239" s="15" t="str">
        <f t="shared" si="8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7"/>
        <v/>
      </c>
      <c r="J240" s="15" t="str">
        <f t="shared" si="8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7"/>
        <v/>
      </c>
      <c r="J241" s="15" t="str">
        <f t="shared" si="8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7"/>
        <v/>
      </c>
      <c r="J242" s="15" t="str">
        <f t="shared" si="8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7"/>
        <v/>
      </c>
      <c r="J243" s="15" t="str">
        <f t="shared" si="8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7"/>
        <v/>
      </c>
      <c r="J244" s="15" t="str">
        <f t="shared" si="8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7"/>
        <v/>
      </c>
      <c r="J245" s="15" t="str">
        <f t="shared" si="8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7"/>
        <v/>
      </c>
      <c r="J246" s="15" t="str">
        <f t="shared" si="8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7"/>
        <v/>
      </c>
      <c r="J247" s="15" t="str">
        <f t="shared" si="8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7"/>
        <v/>
      </c>
      <c r="J248" s="15" t="str">
        <f t="shared" si="8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7"/>
        <v/>
      </c>
      <c r="J249" s="15" t="str">
        <f t="shared" si="8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7"/>
        <v/>
      </c>
      <c r="J250" s="15" t="str">
        <f t="shared" si="8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7"/>
        <v/>
      </c>
      <c r="J251" s="15" t="str">
        <f t="shared" si="8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7"/>
        <v/>
      </c>
      <c r="J252" s="15" t="str">
        <f t="shared" si="8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7"/>
        <v/>
      </c>
      <c r="J253" s="15" t="str">
        <f t="shared" si="8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7"/>
        <v/>
      </c>
      <c r="J254" s="15" t="str">
        <f t="shared" si="8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7"/>
        <v/>
      </c>
      <c r="J255" s="15" t="str">
        <f t="shared" si="8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7"/>
        <v/>
      </c>
      <c r="J256" s="15" t="str">
        <f t="shared" si="8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7"/>
        <v/>
      </c>
      <c r="J257" s="15" t="str">
        <f t="shared" si="8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7"/>
        <v/>
      </c>
      <c r="J258" s="15" t="str">
        <f t="shared" si="8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7"/>
        <v/>
      </c>
      <c r="J259" s="15" t="str">
        <f t="shared" si="8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7"/>
        <v/>
      </c>
      <c r="J260" s="15" t="str">
        <f t="shared" si="8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7"/>
        <v/>
      </c>
      <c r="J261" s="15" t="str">
        <f t="shared" si="8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9">IF(SUM(B262:F262,H262)=0,"",SUM(B262:F262,H262))</f>
        <v/>
      </c>
      <c r="J262" s="15" t="str">
        <f t="shared" ref="J262:J325" si="10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10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10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10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10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10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10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10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9"/>
        <v/>
      </c>
      <c r="J270" s="15" t="str">
        <f t="shared" si="10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9"/>
        <v/>
      </c>
      <c r="J271" s="15" t="str">
        <f t="shared" si="10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9"/>
        <v/>
      </c>
      <c r="J272" s="15" t="str">
        <f t="shared" si="10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9"/>
        <v/>
      </c>
      <c r="J273" s="15" t="str">
        <f t="shared" si="10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9"/>
        <v/>
      </c>
      <c r="J274" s="15" t="str">
        <f t="shared" si="10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9"/>
        <v/>
      </c>
      <c r="J275" s="15" t="str">
        <f t="shared" si="10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9"/>
        <v/>
      </c>
      <c r="J276" s="15" t="str">
        <f t="shared" si="10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9"/>
        <v/>
      </c>
      <c r="J277" s="15" t="str">
        <f t="shared" si="10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9"/>
        <v/>
      </c>
      <c r="J278" s="15" t="str">
        <f t="shared" si="10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9"/>
        <v/>
      </c>
      <c r="J279" s="15" t="str">
        <f t="shared" si="10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9"/>
        <v/>
      </c>
      <c r="J280" s="15" t="str">
        <f t="shared" si="10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9"/>
        <v/>
      </c>
      <c r="J281" s="15" t="str">
        <f t="shared" si="10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9"/>
        <v/>
      </c>
      <c r="J282" s="15" t="str">
        <f t="shared" si="10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9"/>
        <v/>
      </c>
      <c r="J283" s="15" t="str">
        <f t="shared" si="10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9"/>
        <v/>
      </c>
      <c r="J284" s="15" t="str">
        <f t="shared" si="10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9"/>
        <v/>
      </c>
      <c r="J285" s="15" t="str">
        <f t="shared" si="10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9"/>
        <v/>
      </c>
      <c r="J286" s="15" t="str">
        <f t="shared" si="10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9"/>
        <v/>
      </c>
      <c r="J287" s="15" t="str">
        <f t="shared" si="10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9"/>
        <v/>
      </c>
      <c r="J288" s="15" t="str">
        <f t="shared" si="10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9"/>
        <v/>
      </c>
      <c r="J289" s="15" t="str">
        <f t="shared" si="10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9"/>
        <v/>
      </c>
      <c r="J290" s="15" t="str">
        <f t="shared" si="10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9"/>
        <v/>
      </c>
      <c r="J291" s="15" t="str">
        <f t="shared" si="10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9"/>
        <v/>
      </c>
      <c r="J292" s="15" t="str">
        <f t="shared" si="10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9"/>
        <v/>
      </c>
      <c r="J293" s="15" t="str">
        <f t="shared" si="10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9"/>
        <v/>
      </c>
      <c r="J294" s="15" t="str">
        <f t="shared" si="10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9"/>
        <v/>
      </c>
      <c r="J295" s="15" t="str">
        <f t="shared" si="10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9"/>
        <v/>
      </c>
      <c r="J296" s="15" t="str">
        <f t="shared" si="10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9"/>
        <v/>
      </c>
      <c r="J297" s="15" t="str">
        <f t="shared" si="10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9"/>
        <v/>
      </c>
      <c r="J298" s="15" t="str">
        <f t="shared" si="10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9"/>
        <v/>
      </c>
      <c r="J299" s="15" t="str">
        <f t="shared" si="10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9"/>
        <v/>
      </c>
      <c r="J300" s="15" t="str">
        <f t="shared" si="10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9"/>
        <v/>
      </c>
      <c r="J301" s="15" t="str">
        <f t="shared" si="10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9"/>
        <v/>
      </c>
      <c r="J302" s="15" t="str">
        <f t="shared" si="10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9"/>
        <v/>
      </c>
      <c r="J303" s="15" t="str">
        <f t="shared" si="10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9"/>
        <v/>
      </c>
      <c r="J304" s="15" t="str">
        <f t="shared" si="10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9"/>
        <v/>
      </c>
      <c r="J305" s="15" t="str">
        <f t="shared" si="10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9"/>
        <v/>
      </c>
      <c r="J306" s="15" t="str">
        <f t="shared" si="10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9"/>
        <v/>
      </c>
      <c r="J307" s="15" t="str">
        <f t="shared" si="10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9"/>
        <v/>
      </c>
      <c r="J308" s="15" t="str">
        <f t="shared" si="10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9"/>
        <v/>
      </c>
      <c r="J309" s="15" t="str">
        <f t="shared" si="10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9"/>
        <v/>
      </c>
      <c r="J310" s="15" t="str">
        <f t="shared" si="10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9"/>
        <v/>
      </c>
      <c r="J311" s="15" t="str">
        <f t="shared" si="10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9"/>
        <v/>
      </c>
      <c r="J312" s="15" t="str">
        <f t="shared" si="10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9"/>
        <v/>
      </c>
      <c r="J313" s="15" t="str">
        <f t="shared" si="10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9"/>
        <v/>
      </c>
      <c r="J314" s="15" t="str">
        <f t="shared" si="10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9"/>
        <v/>
      </c>
      <c r="J315" s="15" t="str">
        <f t="shared" si="10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9"/>
        <v/>
      </c>
      <c r="J316" s="15" t="str">
        <f t="shared" si="10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9"/>
        <v/>
      </c>
      <c r="J317" s="15" t="str">
        <f t="shared" si="10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9"/>
        <v/>
      </c>
      <c r="J318" s="15" t="str">
        <f t="shared" si="10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9"/>
        <v/>
      </c>
      <c r="J319" s="15" t="str">
        <f t="shared" si="10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9"/>
        <v/>
      </c>
      <c r="J320" s="15" t="str">
        <f t="shared" si="10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9"/>
        <v/>
      </c>
      <c r="J321" s="15" t="str">
        <f t="shared" si="10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9"/>
        <v/>
      </c>
      <c r="J322" s="15" t="str">
        <f t="shared" si="10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9"/>
        <v/>
      </c>
      <c r="J323" s="15" t="str">
        <f t="shared" si="10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9"/>
        <v/>
      </c>
      <c r="J324" s="15" t="str">
        <f t="shared" si="10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9"/>
        <v/>
      </c>
      <c r="J325" s="15" t="str">
        <f t="shared" si="10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1">IF(SUM(B326:F326,H326)=0,"",SUM(B326:F326,H326))</f>
        <v/>
      </c>
      <c r="J326" s="15" t="str">
        <f t="shared" ref="J326:J389" si="12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2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2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2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2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2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2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2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1"/>
        <v/>
      </c>
      <c r="J334" s="15" t="str">
        <f t="shared" si="12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1"/>
        <v/>
      </c>
      <c r="J335" s="15" t="str">
        <f t="shared" si="12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1"/>
        <v/>
      </c>
      <c r="J336" s="15" t="str">
        <f t="shared" si="12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1"/>
        <v/>
      </c>
      <c r="J337" s="15" t="str">
        <f t="shared" si="12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1"/>
        <v/>
      </c>
      <c r="J338" s="15" t="str">
        <f t="shared" si="12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1"/>
        <v/>
      </c>
      <c r="J339" s="15" t="str">
        <f t="shared" si="12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1"/>
        <v/>
      </c>
      <c r="J340" s="15" t="str">
        <f t="shared" si="12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1"/>
        <v/>
      </c>
      <c r="J341" s="15" t="str">
        <f t="shared" si="12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1"/>
        <v/>
      </c>
      <c r="J342" s="15" t="str">
        <f t="shared" si="12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1"/>
        <v/>
      </c>
      <c r="J343" s="15" t="str">
        <f t="shared" si="12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1"/>
        <v/>
      </c>
      <c r="J344" s="15" t="str">
        <f t="shared" si="12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1"/>
        <v/>
      </c>
      <c r="J345" s="15" t="str">
        <f t="shared" si="12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1"/>
        <v/>
      </c>
      <c r="J346" s="15" t="str">
        <f t="shared" si="12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1"/>
        <v/>
      </c>
      <c r="J347" s="15" t="str">
        <f t="shared" si="12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1"/>
        <v/>
      </c>
      <c r="J348" s="15" t="str">
        <f t="shared" si="12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1"/>
        <v/>
      </c>
      <c r="J349" s="15" t="str">
        <f t="shared" si="12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1"/>
        <v/>
      </c>
      <c r="J350" s="15" t="str">
        <f t="shared" si="12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1"/>
        <v/>
      </c>
      <c r="J351" s="15" t="str">
        <f t="shared" si="12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1"/>
        <v/>
      </c>
      <c r="J352" s="15" t="str">
        <f t="shared" si="12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1"/>
        <v/>
      </c>
      <c r="J353" s="15" t="str">
        <f t="shared" si="12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1"/>
        <v/>
      </c>
      <c r="J354" s="15" t="str">
        <f t="shared" si="12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1"/>
        <v/>
      </c>
      <c r="J355" s="15" t="str">
        <f t="shared" si="12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1"/>
        <v/>
      </c>
      <c r="J356" s="15" t="str">
        <f t="shared" si="12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1"/>
        <v/>
      </c>
      <c r="J357" s="15" t="str">
        <f t="shared" si="12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1"/>
        <v/>
      </c>
      <c r="J358" s="15" t="str">
        <f t="shared" si="12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1"/>
        <v/>
      </c>
      <c r="J359" s="15" t="str">
        <f t="shared" si="12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1"/>
        <v/>
      </c>
      <c r="J360" s="15" t="str">
        <f t="shared" si="12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1"/>
        <v/>
      </c>
      <c r="J361" s="15" t="str">
        <f t="shared" si="12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1"/>
        <v/>
      </c>
      <c r="J362" s="15" t="str">
        <f t="shared" si="12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1"/>
        <v/>
      </c>
      <c r="J363" s="15" t="str">
        <f t="shared" si="12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1"/>
        <v/>
      </c>
      <c r="J364" s="15" t="str">
        <f t="shared" si="12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1"/>
        <v/>
      </c>
      <c r="J365" s="15" t="str">
        <f t="shared" si="12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1"/>
        <v/>
      </c>
      <c r="J366" s="15" t="str">
        <f t="shared" si="12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1"/>
        <v/>
      </c>
      <c r="J367" s="15" t="str">
        <f t="shared" si="12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1"/>
        <v/>
      </c>
      <c r="J368" s="15" t="str">
        <f t="shared" si="12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1"/>
        <v/>
      </c>
      <c r="J369" s="15" t="str">
        <f t="shared" si="12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1"/>
        <v/>
      </c>
      <c r="J370" s="15" t="str">
        <f t="shared" si="12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1"/>
        <v/>
      </c>
      <c r="J371" s="15" t="str">
        <f t="shared" si="12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1"/>
        <v/>
      </c>
      <c r="J372" s="15" t="str">
        <f t="shared" si="12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1"/>
        <v/>
      </c>
      <c r="J373" s="15" t="str">
        <f t="shared" si="12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1"/>
        <v/>
      </c>
      <c r="J374" s="15" t="str">
        <f t="shared" si="12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1"/>
        <v/>
      </c>
      <c r="J375" s="15" t="str">
        <f t="shared" si="12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1"/>
        <v/>
      </c>
      <c r="J376" s="15" t="str">
        <f t="shared" si="12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1"/>
        <v/>
      </c>
      <c r="J377" s="15" t="str">
        <f t="shared" si="12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1"/>
        <v/>
      </c>
      <c r="J378" s="15" t="str">
        <f t="shared" si="12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1"/>
        <v/>
      </c>
      <c r="J379" s="15" t="str">
        <f t="shared" si="12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1"/>
        <v/>
      </c>
      <c r="J380" s="15" t="str">
        <f t="shared" si="12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1"/>
        <v/>
      </c>
      <c r="J381" s="15" t="str">
        <f t="shared" si="12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1"/>
        <v/>
      </c>
      <c r="J382" s="15" t="str">
        <f t="shared" si="12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1"/>
        <v/>
      </c>
      <c r="J383" s="15" t="str">
        <f t="shared" si="12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1"/>
        <v/>
      </c>
      <c r="J384" s="15" t="str">
        <f t="shared" si="12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1"/>
        <v/>
      </c>
      <c r="J385" s="15" t="str">
        <f t="shared" si="12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1"/>
        <v/>
      </c>
      <c r="J386" s="15" t="str">
        <f t="shared" si="12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1"/>
        <v/>
      </c>
      <c r="J387" s="15" t="str">
        <f t="shared" si="12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1"/>
        <v/>
      </c>
      <c r="J388" s="15" t="str">
        <f t="shared" si="12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1"/>
        <v/>
      </c>
      <c r="J389" s="15" t="str">
        <f t="shared" si="12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3">IF(SUM(B390:F390,H390)=0,"",SUM(B390:F390,H390))</f>
        <v/>
      </c>
      <c r="J390" s="15" t="str">
        <f t="shared" ref="J390:J401" si="14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3"/>
        <v/>
      </c>
      <c r="J391" s="15" t="str">
        <f t="shared" si="14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3"/>
        <v/>
      </c>
      <c r="J392" s="15" t="str">
        <f t="shared" si="14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3"/>
        <v/>
      </c>
      <c r="J393" s="15" t="str">
        <f t="shared" si="14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3"/>
        <v/>
      </c>
      <c r="J394" s="15" t="str">
        <f t="shared" si="14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3"/>
        <v/>
      </c>
      <c r="J395" s="15" t="str">
        <f t="shared" si="14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3"/>
        <v/>
      </c>
      <c r="J396" s="15" t="str">
        <f t="shared" si="14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3"/>
        <v/>
      </c>
      <c r="J397" s="15" t="str">
        <f t="shared" si="14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3"/>
        <v/>
      </c>
      <c r="J398" s="15" t="str">
        <f t="shared" si="14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3"/>
        <v/>
      </c>
      <c r="J399" s="15" t="str">
        <f t="shared" si="14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3"/>
        <v/>
      </c>
      <c r="J400" s="15" t="str">
        <f t="shared" si="14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3"/>
        <v/>
      </c>
      <c r="J401" s="15" t="str">
        <f t="shared" si="14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 Gajjar</cp:lastModifiedBy>
  <cp:revision>0</cp:revision>
  <dcterms:created xsi:type="dcterms:W3CDTF">2026-07-24T11:49:30Z</dcterms:created>
  <dcterms:modified xsi:type="dcterms:W3CDTF">2026-09-26T18:04:54Z</dcterms:modified>
  <dc:language>en-US</dc:language>
</cp:coreProperties>
</file>